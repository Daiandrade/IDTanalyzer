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1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omments1.xml" ContentType="application/vnd.openxmlformats-officedocument.spreadsheetml.comments+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aPasta_de_trabalho" defaultThemeVersion="124226"/>
  <mc:AlternateContent xmlns:mc="http://schemas.openxmlformats.org/markup-compatibility/2006">
    <mc:Choice Requires="x15">
      <x15ac:absPath xmlns:x15ac="http://schemas.microsoft.com/office/spreadsheetml/2010/11/ac" url="https://trten-my.sharepoint.com/personal/anderson_rodriguespereira_thomsonreuters_com/Documents/TR/Cases IDT/Oxiteno/"/>
    </mc:Choice>
  </mc:AlternateContent>
  <xr:revisionPtr revIDLastSave="1" documentId="13_ncr:1_{4E09A04A-BEC3-4EA1-B666-80043C4AE943}" xr6:coauthVersionLast="47" xr6:coauthVersionMax="47" xr10:uidLastSave="{458CDB1D-1A5B-4D24-BF67-4A59CFFFB949}"/>
  <bookViews>
    <workbookView minimized="1" xWindow="33645" yWindow="1755" windowWidth="14400" windowHeight="8175" tabRatio="904" firstSheet="1" activeTab="10" xr2:uid="{00000000-000D-0000-FFFF-FFFF00000000}"/>
  </bookViews>
  <sheets>
    <sheet name="Sumário" sheetId="23" state="hidden" r:id="rId1"/>
    <sheet name="Geral" sheetId="11" r:id="rId2"/>
    <sheet name="Lista de Valores" sheetId="22" state="hidden" r:id="rId3"/>
    <sheet name="Empresas" sheetId="12" r:id="rId4"/>
    <sheet name="Volumetria" sheetId="24" r:id="rId5"/>
    <sheet name="CFOPS" sheetId="30" r:id="rId6"/>
    <sheet name="NCMS COMPRAS" sheetId="32" r:id="rId7"/>
    <sheet name="NCMS VENDAS" sheetId="27" r:id="rId8"/>
    <sheet name="Municípios" sheetId="25" r:id="rId9"/>
    <sheet name="Regimes Especiais" sheetId="29" r:id="rId10"/>
    <sheet name="Sistemas" sheetId="31" r:id="rId11"/>
    <sheet name="Brazil Est" sheetId="2" state="veryHidden" r:id="rId12"/>
    <sheet name="General Information - ENG" sheetId="18" state="veryHidden" r:id="rId13"/>
    <sheet name="Purchase - ENG" sheetId="19" state="veryHidden" r:id="rId14"/>
    <sheet name="Sales - ENG" sheetId="20" state="veryHidden" r:id="rId15"/>
    <sheet name="Determination" sheetId="6" state="veryHidden" r:id="rId16"/>
    <sheet name="Complexity and Scale" sheetId="1" state="veryHidden" r:id="rId17"/>
    <sheet name="Formulas and Lists" sheetId="9" state="veryHidden" r:id="rId18"/>
    <sheet name="Premium Content Estimator" sheetId="4" state="veryHidden" r:id="rId19"/>
    <sheet name="Fiscosoft" sheetId="8" state="veryHidden" r:id="rId20"/>
    <sheet name="Definitions" sheetId="5" state="veryHidden" r:id="rId21"/>
  </sheets>
  <definedNames>
    <definedName name="_xlnm._FilterDatabase" localSheetId="11" hidden="1">'Brazil Est'!$H$4:$I$6</definedName>
    <definedName name="_xlnm._FilterDatabase" localSheetId="8" hidden="1">Municípios!$A$3:$F$75</definedName>
    <definedName name="_xlnm._FilterDatabase" localSheetId="6" hidden="1">'NCMS COMPRAS'!$A$3:$D$1781</definedName>
    <definedName name="_xlnm.Print_Area" localSheetId="1">Geral!$A$1:$B$14</definedName>
    <definedName name="Oracle11i">'Complexity and Scale'!$G$76:$G$78</definedName>
    <definedName name="OracleR12">'Complexity and Scale'!$F$76</definedName>
    <definedName name="Other">'Complexity and Scale'!$E$76:$E$78</definedName>
    <definedName name="SAP">'Complexity and Scale'!$D$76:$D$78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2" l="1"/>
  <c r="I18" i="2"/>
  <c r="D10" i="2"/>
  <c r="D15" i="2"/>
  <c r="L33" i="9" l="1"/>
  <c r="L25" i="9"/>
  <c r="G40" i="6"/>
  <c r="C40" i="6"/>
  <c r="D5" i="2" l="1"/>
  <c r="I21" i="2"/>
  <c r="I20" i="2"/>
  <c r="I9" i="2" l="1"/>
  <c r="I8" i="2"/>
  <c r="I7" i="2"/>
  <c r="K33" i="9"/>
  <c r="I10" i="2" s="1"/>
  <c r="I16" i="2" l="1"/>
  <c r="I19" i="2"/>
  <c r="J18" i="2"/>
  <c r="I15" i="2"/>
  <c r="J15" i="2" s="1"/>
  <c r="J17" i="2"/>
  <c r="J10" i="2"/>
  <c r="K25" i="9"/>
  <c r="I11" i="2" s="1"/>
  <c r="D8" i="2"/>
  <c r="D6" i="2"/>
  <c r="E6" i="2" s="1"/>
  <c r="D7" i="2"/>
  <c r="I6" i="2"/>
  <c r="J6" i="2" s="1"/>
  <c r="J11" i="2" l="1"/>
  <c r="I5" i="2"/>
  <c r="E5" i="2" l="1"/>
  <c r="AC23" i="1" l="1"/>
  <c r="AC22" i="1"/>
  <c r="AA23" i="1"/>
  <c r="AA22" i="1"/>
  <c r="K23" i="1"/>
  <c r="I23" i="1"/>
  <c r="S22" i="1"/>
  <c r="Q22" i="1"/>
  <c r="Y23" i="1"/>
  <c r="Y22" i="1"/>
  <c r="F35" i="1" l="1"/>
  <c r="D36" i="2" s="1"/>
  <c r="J9" i="2" l="1"/>
  <c r="J8" i="2"/>
  <c r="D10" i="9" l="1"/>
  <c r="A8" i="9"/>
  <c r="A9" i="9" s="1"/>
  <c r="F33" i="1"/>
  <c r="D34" i="2" s="1"/>
  <c r="D4" i="9"/>
  <c r="A2" i="9"/>
  <c r="A3" i="9" s="1"/>
  <c r="P37" i="1"/>
  <c r="E7" i="2"/>
  <c r="D15" i="6" l="1"/>
  <c r="J21" i="2"/>
  <c r="J20" i="2"/>
  <c r="J19" i="2"/>
  <c r="J16" i="2" l="1"/>
  <c r="J5" i="2"/>
  <c r="D23" i="6" l="1"/>
  <c r="G39" i="6" l="1"/>
  <c r="G42" i="6"/>
  <c r="E36" i="2" l="1"/>
  <c r="E34" i="2"/>
  <c r="C38" i="6" l="1"/>
  <c r="C39" i="6"/>
  <c r="J7" i="2" l="1"/>
  <c r="G27" i="1" s="1"/>
  <c r="E14" i="2"/>
  <c r="E9" i="2"/>
  <c r="E8" i="2"/>
  <c r="F27" i="1" l="1"/>
  <c r="I67" i="1"/>
  <c r="I68" i="1"/>
  <c r="I75" i="1"/>
  <c r="D48" i="2"/>
  <c r="D47" i="2"/>
  <c r="E48" i="2"/>
  <c r="C37" i="2"/>
  <c r="I51" i="1"/>
  <c r="J51" i="1" s="1"/>
  <c r="I52" i="1"/>
  <c r="J52" i="1" s="1"/>
  <c r="I53" i="1"/>
  <c r="J53" i="1" s="1"/>
  <c r="J78" i="1" s="1"/>
  <c r="K78" i="1" s="1"/>
  <c r="C34" i="2"/>
  <c r="C47" i="2" l="1"/>
  <c r="C26" i="6"/>
  <c r="J79" i="1"/>
  <c r="K79" i="1" s="1"/>
  <c r="J80" i="1"/>
  <c r="K80" i="1" s="1"/>
  <c r="C48" i="2"/>
  <c r="K81" i="1" l="1"/>
  <c r="J60" i="1"/>
  <c r="K60" i="1" s="1"/>
  <c r="J62" i="1"/>
  <c r="K62" i="1" s="1"/>
  <c r="J66" i="1"/>
  <c r="K66" i="1" s="1"/>
  <c r="J71" i="1"/>
  <c r="K71" i="1" s="1"/>
  <c r="J73" i="1"/>
  <c r="K73" i="1" s="1"/>
  <c r="J61" i="1"/>
  <c r="K61" i="1" s="1"/>
  <c r="J68" i="1"/>
  <c r="K68" i="1" s="1"/>
  <c r="J67" i="1"/>
  <c r="K67" i="1" s="1"/>
  <c r="J72" i="1"/>
  <c r="K72" i="1" s="1"/>
  <c r="J63" i="1" l="1"/>
  <c r="K74" i="1"/>
  <c r="K63" i="1"/>
  <c r="K69" i="1"/>
  <c r="G39" i="1" l="1"/>
  <c r="G23" i="1"/>
  <c r="G22" i="1"/>
  <c r="E23" i="1"/>
  <c r="E22" i="1"/>
  <c r="C23" i="1"/>
  <c r="C22" i="1"/>
  <c r="J26" i="1" s="1"/>
  <c r="K10" i="1"/>
  <c r="K9" i="1"/>
  <c r="I10" i="1"/>
  <c r="I9" i="1"/>
  <c r="G10" i="1"/>
  <c r="G9" i="1"/>
  <c r="E10" i="1"/>
  <c r="E9" i="1"/>
  <c r="C10" i="1"/>
  <c r="C9" i="1"/>
  <c r="D46" i="2"/>
  <c r="D40" i="6" s="1"/>
  <c r="J27" i="1" l="1"/>
  <c r="K29" i="1" s="1"/>
  <c r="M9" i="1"/>
  <c r="J28" i="1" s="1"/>
  <c r="M10" i="1"/>
  <c r="K28" i="1" s="1"/>
  <c r="C35" i="1"/>
  <c r="C33" i="1" l="1"/>
  <c r="C18" i="6"/>
  <c r="L33" i="1"/>
  <c r="I35" i="1"/>
  <c r="C31" i="6"/>
  <c r="C28" i="6"/>
  <c r="C23" i="6"/>
  <c r="C8" i="6"/>
  <c r="C4" i="6"/>
  <c r="D39" i="1"/>
  <c r="C38" i="1"/>
  <c r="C37" i="1"/>
  <c r="C32" i="1"/>
  <c r="C31" i="1"/>
  <c r="C30" i="1"/>
  <c r="C34" i="1"/>
  <c r="C36" i="1" l="1"/>
  <c r="K30" i="1"/>
  <c r="C15" i="6"/>
  <c r="B15" i="4" l="1"/>
  <c r="B14" i="4" l="1"/>
  <c r="B12" i="4"/>
  <c r="B13" i="4" l="1"/>
  <c r="B16" i="4" s="1"/>
  <c r="E47" i="2"/>
  <c r="D45" i="2"/>
  <c r="D39" i="6" s="1"/>
  <c r="H37" i="2" l="1"/>
  <c r="D41" i="6"/>
  <c r="F41" i="6" s="1"/>
  <c r="G41" i="6" s="1"/>
  <c r="B20" i="4"/>
  <c r="H36" i="2" l="1"/>
  <c r="H34" i="2"/>
  <c r="F28" i="1" l="1"/>
  <c r="I34" i="1" l="1"/>
  <c r="H27" i="1"/>
  <c r="I36" i="1" l="1"/>
  <c r="J29" i="1"/>
  <c r="J30" i="1" s="1"/>
  <c r="H28" i="1" s="1"/>
  <c r="F32" i="1" l="1"/>
  <c r="D33" i="2" s="1"/>
  <c r="F34" i="1"/>
  <c r="H34" i="1" s="1"/>
  <c r="D12" i="2" l="1"/>
  <c r="F37" i="1" s="1"/>
  <c r="D38" i="2" s="1"/>
  <c r="D11" i="2"/>
  <c r="F30" i="1" s="1"/>
  <c r="D13" i="2"/>
  <c r="F38" i="1" s="1"/>
  <c r="D39" i="2" s="1"/>
  <c r="D35" i="2"/>
  <c r="E33" i="2"/>
  <c r="D11" i="6"/>
  <c r="H33" i="2"/>
  <c r="E39" i="2" l="1"/>
  <c r="H39" i="2"/>
  <c r="D31" i="6"/>
  <c r="D18" i="6"/>
  <c r="H35" i="2"/>
  <c r="E35" i="2"/>
  <c r="D28" i="6"/>
  <c r="H38" i="2"/>
  <c r="E38" i="2"/>
  <c r="D31" i="2"/>
  <c r="F31" i="1"/>
  <c r="D32" i="2" s="1"/>
  <c r="F39" i="1" l="1"/>
  <c r="H32" i="2"/>
  <c r="D8" i="6"/>
  <c r="E32" i="2"/>
  <c r="H31" i="2"/>
  <c r="E31" i="2"/>
  <c r="D40" i="2"/>
  <c r="D4" i="6"/>
  <c r="E40" i="2" l="1"/>
  <c r="D34" i="6"/>
  <c r="D38" i="6" s="1"/>
  <c r="F38" i="6" s="1"/>
  <c r="D28" i="2"/>
  <c r="D44" i="2"/>
  <c r="H44" i="2" s="1"/>
  <c r="H49" i="2" s="1"/>
  <c r="H40" i="2"/>
  <c r="D43" i="6" l="1"/>
  <c r="H28" i="2"/>
  <c r="F43" i="6"/>
  <c r="G38" i="6"/>
  <c r="G4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Funk, Taylor (Tax&amp;Accounting)</author>
  </authors>
  <commentList>
    <comment ref="I75" authorId="0" shapeId="0" xr:uid="{00000000-0006-0000-0D00-000001000000}">
      <text>
        <r>
          <rPr>
            <b/>
            <sz val="9"/>
            <color indexed="81"/>
            <rFont val="Tahoma"/>
            <family val="2"/>
          </rPr>
          <t>No Factoring
Peer = 1/2 hour per 100
Senior = 1/2 hour per 100
Manager = 1/3 hour per 100</t>
        </r>
      </text>
    </comment>
  </commentList>
</comments>
</file>

<file path=xl/sharedStrings.xml><?xml version="1.0" encoding="utf-8"?>
<sst xmlns="http://schemas.openxmlformats.org/spreadsheetml/2006/main" count="8680" uniqueCount="3533">
  <si>
    <t>Análise e posicionamento do Time de Conteúdo - Tax Research</t>
  </si>
  <si>
    <t>Compras/Entradas</t>
  </si>
  <si>
    <t>Premissas da Presente Análise</t>
  </si>
  <si>
    <t>Análise TR team</t>
  </si>
  <si>
    <t>NCMs</t>
  </si>
  <si>
    <t>NCMs existentes no conteúdo</t>
  </si>
  <si>
    <t>A presente análise está restrita as NCMs/linhas aqui informadas (inbound/outbound), sendo que operações específicas poderão não estar abrangidas pelo IDT;</t>
  </si>
  <si>
    <t>NCMs não existentes no conteúdo</t>
  </si>
  <si>
    <t>O resultado da análise apresentado por meio do "Total Geral" refere-se a quantidade de linhas e não a quantidade de NCMs;</t>
  </si>
  <si>
    <t>NCMs inexistentes na TIPI vigente</t>
  </si>
  <si>
    <t>NCMs não existentes no Conteúdo IDT referem-se a conteúdos que não estão incluídos na cobertura standard e poderão ser customizados;</t>
  </si>
  <si>
    <t>Operação atendida</t>
  </si>
  <si>
    <t>Operação não atendida refere-se as operações (CFOPs informados) que não estão incluídos na cobertura stadard e poderão ser customizados;</t>
  </si>
  <si>
    <t>Operação não atendida</t>
  </si>
  <si>
    <t>Para os serviços prestados, os municípios atendidos seguem a LC 116/03;</t>
  </si>
  <si>
    <t>Total Geral</t>
  </si>
  <si>
    <t>Análise exclusiva dos municípios aqui informados em conjunto com a UF também indicada pelo cliente (Lista municípios);</t>
  </si>
  <si>
    <t>Para os serviços tomados o sistema determina o responsável (prestador/tomador) pelo pagamento do imposto e não pelo local da retenção;</t>
  </si>
  <si>
    <t>Municípios atendidos estão disponíveis na sheet "Lista Municípios&amp;Serviços - POR".</t>
  </si>
  <si>
    <t>Vendas/Saídas</t>
  </si>
  <si>
    <t>Operações passíveis de customização (Não Standard) - Exemplos:</t>
  </si>
  <si>
    <t>Transferências de Saldo Credor</t>
  </si>
  <si>
    <t>Diferimento</t>
  </si>
  <si>
    <t>Suspensão</t>
  </si>
  <si>
    <t>Antecipação</t>
  </si>
  <si>
    <t>Armazém Geral</t>
  </si>
  <si>
    <t>Subcontratação (frete)</t>
  </si>
  <si>
    <t>Redespacho</t>
  </si>
  <si>
    <t>Serviços Prestados</t>
  </si>
  <si>
    <t>Regimes tributários: Regime Simples Nacional/MEI</t>
  </si>
  <si>
    <t>Municípios</t>
  </si>
  <si>
    <t>Industrialização em terceiros / Op. Triangulares</t>
  </si>
  <si>
    <t>Municípios atendidos</t>
  </si>
  <si>
    <t>Transferência/Remessa</t>
  </si>
  <si>
    <t>Regimes especiais</t>
  </si>
  <si>
    <t>Serviços Tomados</t>
  </si>
  <si>
    <t>ONESOURCE INDIRECT TAX DETERMINATION</t>
  </si>
  <si>
    <t>QUESTIONÁRIO MOTOR DE CÁLCULO</t>
  </si>
  <si>
    <t>FORMULÁRIO PARA MAPEAMENTO DE CENÁRIO FISCAL</t>
  </si>
  <si>
    <t>Nome do Responsável:</t>
  </si>
  <si>
    <t xml:space="preserve">Data do Preenchimento: </t>
  </si>
  <si>
    <t xml:space="preserve">Informe os dados das Empresas e Filiais a serem consideradas no Projeto </t>
  </si>
  <si>
    <t>Preencher os dados completos da aba Empresas</t>
  </si>
  <si>
    <t xml:space="preserve">Quais são os ramos de negócios das empresas? </t>
  </si>
  <si>
    <t>Informar os CNAEs (principais e secundários) na aba Empresas</t>
  </si>
  <si>
    <t>Qual é o Faturamento Anual consolidado das empresas?</t>
  </si>
  <si>
    <t>Informar o faturamento anual em R$ na aba Empresas</t>
  </si>
  <si>
    <t xml:space="preserve">Quais tipos de operações tributárias sua empresa realiza? </t>
  </si>
  <si>
    <t>Preencher os dados completos da aba CFOPS</t>
  </si>
  <si>
    <t>Qual é a quantidade de Produtos (SKUS) cadastrados na operação de Compras?</t>
  </si>
  <si>
    <t>Preencher os dados completos da aba Volumetria</t>
  </si>
  <si>
    <t>Qual é a quantidade de Produtos (SKUS) cadastrados na operação de Vendas?</t>
  </si>
  <si>
    <t>Qual é a quantidade média de novos Produtos (SKUS) cadastrados por Mês?</t>
  </si>
  <si>
    <t>Qual é a volumetria de documentos fiscais emitidos e recebidos?</t>
  </si>
  <si>
    <t>Quantas NCMS existem na operação de Vendas?</t>
  </si>
  <si>
    <t>Preencher os dados completos da aba NCMS VENDAS</t>
  </si>
  <si>
    <t>Quantas NCMS existem na operação de Compras?</t>
  </si>
  <si>
    <t>Preencher os dados completos da aba NCMS COMPRAS</t>
  </si>
  <si>
    <t>Possui Regimes Especiais?</t>
  </si>
  <si>
    <t>Preencher os dados completos da aba Regimes Especiais</t>
  </si>
  <si>
    <t>Sistemas Utilizados</t>
  </si>
  <si>
    <t>Preencher os dados completos da aba Sistemas</t>
  </si>
  <si>
    <t>aba: Informações Gerais - POR</t>
  </si>
  <si>
    <t>Remessa para armazém geral</t>
  </si>
  <si>
    <t>Remessa para depósito fechado</t>
  </si>
  <si>
    <t>Transferência entre estabelecimentos</t>
  </si>
  <si>
    <t>Venda por conta e ordem de terceiros</t>
  </si>
  <si>
    <t>Industrialização efetuada para outra empresa</t>
  </si>
  <si>
    <t>Remessa para industrialização por encomenda (direta)</t>
  </si>
  <si>
    <t>Remessa para industrialização por encomenda por conta e ordem de terceiros</t>
  </si>
  <si>
    <t>Remessa para conserto</t>
  </si>
  <si>
    <t>Remessa para destruição</t>
  </si>
  <si>
    <t>Venda em consignação industrial</t>
  </si>
  <si>
    <t>Venda em consignação mercantil</t>
  </si>
  <si>
    <t>Venda fora do estabelecimento</t>
  </si>
  <si>
    <t>Venda para entrega futura</t>
  </si>
  <si>
    <t>Bonificação</t>
  </si>
  <si>
    <t>Doação</t>
  </si>
  <si>
    <t>Brinde</t>
  </si>
  <si>
    <t>Outras</t>
  </si>
  <si>
    <t>Produtos</t>
  </si>
  <si>
    <t>Serviços</t>
  </si>
  <si>
    <t>Produtos e Serviços</t>
  </si>
  <si>
    <t>Compras</t>
  </si>
  <si>
    <t>Vendas</t>
  </si>
  <si>
    <t>Compras e Vendas</t>
  </si>
  <si>
    <t>Agronegócio</t>
  </si>
  <si>
    <t>Automotivo</t>
  </si>
  <si>
    <t>Bens de Consumo</t>
  </si>
  <si>
    <t>Farmacêutico</t>
  </si>
  <si>
    <t>Químico</t>
  </si>
  <si>
    <t>Transportes</t>
  </si>
  <si>
    <t>Industrial</t>
  </si>
  <si>
    <t>Importador</t>
  </si>
  <si>
    <t>Atacadista</t>
  </si>
  <si>
    <t>Varejista</t>
  </si>
  <si>
    <t>Pretador de Serviços</t>
  </si>
  <si>
    <t>Brasil</t>
  </si>
  <si>
    <t>LATAM</t>
  </si>
  <si>
    <t>NA</t>
  </si>
  <si>
    <t>EMEA</t>
  </si>
  <si>
    <t>APAC</t>
  </si>
  <si>
    <t>Preencher abaixo os CNPJs completo de todos os estabelecimentos da empresa</t>
  </si>
  <si>
    <t>CNPJ</t>
  </si>
  <si>
    <t>RAZÃO SOCIAL</t>
  </si>
  <si>
    <t>Matriz/Filial</t>
  </si>
  <si>
    <t>UF</t>
  </si>
  <si>
    <t>MUNICÍPIO</t>
  </si>
  <si>
    <t xml:space="preserve">SITUAÇÃO </t>
  </si>
  <si>
    <t xml:space="preserve">CNAE </t>
  </si>
  <si>
    <t>Emite Nota Mercantil?</t>
  </si>
  <si>
    <t>Recebe Nota Mercantil?</t>
  </si>
  <si>
    <t>Emite CTE?</t>
  </si>
  <si>
    <t>Recebe CTE?</t>
  </si>
  <si>
    <t>Emite Nota de Serviço?</t>
  </si>
  <si>
    <t>Recebe Nota de Serviço?</t>
  </si>
  <si>
    <t>Regime de Apuração?</t>
  </si>
  <si>
    <t>Faturamento Anual</t>
  </si>
  <si>
    <t>Informar a Volumetria de Documentos Fiscais Consolidado para todas as empresas</t>
  </si>
  <si>
    <t>Documento Fiscal Eletrônico (Emitidos)</t>
  </si>
  <si>
    <t>Volumetria Anual</t>
  </si>
  <si>
    <t>Média de Itens por Nota</t>
  </si>
  <si>
    <t>Nota Fiscal Mercantil (NFE) Modelo 55</t>
  </si>
  <si>
    <t>Conhecimento de Transporte (CTE) Modelo 57</t>
  </si>
  <si>
    <t>Conhecimento de Transporte (CTE) Modelo 67</t>
  </si>
  <si>
    <t>MDFe Modelo 58</t>
  </si>
  <si>
    <t>Nota Fiscal de Serviços Municipal (Preencher os dados completos da aba Municípios)</t>
  </si>
  <si>
    <t>Cupom Fiscal (NFCE) Modelo 65</t>
  </si>
  <si>
    <t>Cupom Fiscal (ECF)</t>
  </si>
  <si>
    <t>Cupom Fiscal (SAT)</t>
  </si>
  <si>
    <t>Documento Fiscal Eletrônico (Recebidos)</t>
  </si>
  <si>
    <t>Informar a Volumetria do Cadastro de Produtos (SKUS) Consolidado para todas as empresas</t>
  </si>
  <si>
    <t>Cadastro de Produtos (SKUS)</t>
  </si>
  <si>
    <t>Operação de Compras</t>
  </si>
  <si>
    <t>Operação de Vendas</t>
  </si>
  <si>
    <t>Quantidade total de Produtos (SKUS) cadastrados para todas as empresas informadas</t>
  </si>
  <si>
    <t>Quantidade média de novos Produtos (SKUS) cadastrados por mês para todas as empresas informadas</t>
  </si>
  <si>
    <t>Informar as CFOPS que precisam estar contemplados no projeto, incluindo operações de Entradas e Saídas</t>
  </si>
  <si>
    <t>CFOP de Entrada</t>
  </si>
  <si>
    <t>Descrição da Operação relacionada a CFOP de Entrada</t>
  </si>
  <si>
    <t>CFOP de Saída</t>
  </si>
  <si>
    <t>Descrição da Operação relacionada a CFOP de Saída</t>
  </si>
  <si>
    <t>Preencher os NCMS vinculados aos convênios aplicáveis que precisam estar contemplados no projeto, incluindo NCMS de devoluções de Ativo e ou Material de Uso ou Consumo mais recorrentes</t>
  </si>
  <si>
    <t>NCM</t>
  </si>
  <si>
    <t xml:space="preserve">CONVÊNIO APLICÁVEL </t>
  </si>
  <si>
    <t>CEST</t>
  </si>
  <si>
    <t>EXCEÇÃO TIPI</t>
  </si>
  <si>
    <t>Informar a Volumetria Anual de Notas de Serviços por Município</t>
  </si>
  <si>
    <t>Quantidade de Notas (Serviços Tomados)</t>
  </si>
  <si>
    <t>Quantidade de Notas (Serviços Prestados)</t>
  </si>
  <si>
    <t>LISTAR REGIMES ESPECIAIS (Quando houver)</t>
  </si>
  <si>
    <t>PEDIDO Nº</t>
  </si>
  <si>
    <t>OBJETO/TERMO REGIME ESPECIAL</t>
  </si>
  <si>
    <t>OBSERVAÇÕES</t>
  </si>
  <si>
    <t>ARQUITETURA DE SISTEMAS</t>
  </si>
  <si>
    <t>PEGUNTA</t>
  </si>
  <si>
    <t>RESPOSTA</t>
  </si>
  <si>
    <t>Qual(is) o(s) seu(s) sistema(s) a integrar com o TAX DETERMINATION?</t>
  </si>
  <si>
    <t>Especifique a respectiva versão, incluindo informação do último patch; para SAP ECC por exemplo, indicar EHP e SP</t>
  </si>
  <si>
    <t>Qual o número de instâncias produtivas?</t>
  </si>
  <si>
    <t>Indique o tipo de integração: Batch(DFI), SOAP ou REST (Exceto para SAP e Oracle que possuem conectores nativos)</t>
  </si>
  <si>
    <t xml:space="preserve">Agregar outras informações que considerar relevante para o projeto </t>
  </si>
  <si>
    <t>ONESOURCE IMPLEMENTATION ESTIMATING CALCULATOR (Brazil Sole Source)</t>
  </si>
  <si>
    <t>Template Guideline - Comments, Notes</t>
  </si>
  <si>
    <t>General Criteria</t>
  </si>
  <si>
    <t>Scope Input</t>
  </si>
  <si>
    <t>Factor</t>
  </si>
  <si>
    <t>Scale Criteria</t>
  </si>
  <si>
    <t>Scale Input</t>
  </si>
  <si>
    <r>
      <t xml:space="preserve">This Estimating Template is for High - Level and Detail Estimates for ONESOURCE Indirect Tax solesource implementations.
</t>
    </r>
    <r>
      <rPr>
        <b/>
        <sz val="10"/>
        <color theme="1"/>
        <rFont val="Calibri"/>
        <family val="2"/>
        <scheme val="minor"/>
      </rPr>
      <t xml:space="preserve">Note SUT Compliance </t>
    </r>
    <r>
      <rPr>
        <sz val="10"/>
        <color theme="1"/>
        <rFont val="Calibri"/>
        <family val="2"/>
        <scheme val="minor"/>
      </rPr>
      <t xml:space="preserve">- Will need to contact MasterSAF for estimating Fiscal Compliance
</t>
    </r>
    <r>
      <rPr>
        <b/>
        <sz val="10"/>
        <color theme="1"/>
        <rFont val="Calibri"/>
        <family val="2"/>
        <scheme val="minor"/>
      </rPr>
      <t>Note</t>
    </r>
    <r>
      <rPr>
        <sz val="10"/>
        <color theme="1"/>
        <rFont val="Calibri"/>
        <family val="2"/>
        <scheme val="minor"/>
      </rPr>
      <t xml:space="preserve"> - This template can be for implementations that include Premium Content or Custom Built Content
</t>
    </r>
    <r>
      <rPr>
        <b/>
        <sz val="10"/>
        <color theme="1"/>
        <rFont val="Calibri"/>
        <family val="2"/>
        <scheme val="minor"/>
      </rPr>
      <t>Note</t>
    </r>
    <r>
      <rPr>
        <sz val="10"/>
        <color theme="1"/>
        <rFont val="Calibri"/>
        <family val="2"/>
        <scheme val="minor"/>
      </rPr>
      <t xml:space="preserve"> - This template is </t>
    </r>
    <r>
      <rPr>
        <u/>
        <sz val="10"/>
        <color theme="1"/>
        <rFont val="Calibri"/>
        <family val="2"/>
        <scheme val="minor"/>
      </rPr>
      <t>not</t>
    </r>
    <r>
      <rPr>
        <sz val="10"/>
        <color theme="1"/>
        <rFont val="Calibri"/>
        <family val="2"/>
        <scheme val="minor"/>
      </rPr>
      <t xml:space="preserve"> for Partner Led implementations
</t>
    </r>
    <r>
      <rPr>
        <b/>
        <sz val="10"/>
        <color theme="1"/>
        <rFont val="Calibri"/>
        <family val="2"/>
        <scheme val="minor"/>
      </rPr>
      <t>Note - This template provides only an estimate for a Premium Content offering, a more accurate estimate can only provided with further analysis of the customer's transactions and applicable tax regimes.</t>
    </r>
    <r>
      <rPr>
        <sz val="10"/>
        <color theme="1"/>
        <rFont val="Calibri"/>
        <family val="2"/>
        <scheme val="minor"/>
      </rPr>
      <t xml:space="preserve">
</t>
    </r>
    <r>
      <rPr>
        <sz val="10"/>
        <color rgb="FFFF0000"/>
        <rFont val="Calibri"/>
        <family val="2"/>
        <scheme val="minor"/>
      </rPr>
      <t>© Copyright 2013 Thomson Reuters Indirect Tax, All Rights Reserved.    COMPANY CONFIDENTIAL</t>
    </r>
    <r>
      <rPr>
        <sz val="10"/>
        <color theme="1"/>
        <rFont val="Calibri"/>
        <family val="2"/>
        <scheme val="minor"/>
      </rPr>
      <t xml:space="preserve"> </t>
    </r>
  </si>
  <si>
    <t>ERP System</t>
  </si>
  <si>
    <t>Total Branches</t>
  </si>
  <si>
    <t>Operation Types</t>
  </si>
  <si>
    <t>State Registrations</t>
  </si>
  <si>
    <t>Process Scope (OTC, PTP)</t>
  </si>
  <si>
    <t xml:space="preserve"># of NCMs </t>
  </si>
  <si>
    <t>Supply Chain Location</t>
  </si>
  <si>
    <t>Sales - # of lines</t>
  </si>
  <si>
    <t>Content</t>
  </si>
  <si>
    <t>Premium +</t>
  </si>
  <si>
    <t>Purchases - # of lines</t>
  </si>
  <si>
    <t xml:space="preserve">Architecture </t>
  </si>
  <si>
    <t>-</t>
  </si>
  <si>
    <t>Sales - Withholding Taxes</t>
  </si>
  <si>
    <t>Project Timeline (Months)</t>
  </si>
  <si>
    <t>Purchases - Withholding Taxes</t>
  </si>
  <si>
    <t>Testing</t>
  </si>
  <si>
    <t>Go-Live Support</t>
  </si>
  <si>
    <t>Training Included</t>
  </si>
  <si>
    <t>Yes</t>
  </si>
  <si>
    <t>Content Criteria</t>
  </si>
  <si>
    <t>Implementation Model</t>
  </si>
  <si>
    <t>ICMS-ST - Sales - Ship-From States</t>
  </si>
  <si>
    <t>ICMS-ST - Sales - Ship-To States</t>
  </si>
  <si>
    <t>ICMS-ST - Purchases - Ship-From States</t>
  </si>
  <si>
    <t>ICMS-ST - Purchases - Ship-To States</t>
  </si>
  <si>
    <t>ICMS-ST - # of NCMs</t>
  </si>
  <si>
    <t>ISS - # of Municipalities</t>
  </si>
  <si>
    <t>ISS - Service Codes</t>
  </si>
  <si>
    <t>Bill Rate</t>
  </si>
  <si>
    <t>Estimated Hours</t>
  </si>
  <si>
    <t>Estimated Fees</t>
  </si>
  <si>
    <t>High Level - Estimate Summary</t>
  </si>
  <si>
    <t xml:space="preserve">Level 1 - Estimate Summary </t>
  </si>
  <si>
    <t>Total</t>
  </si>
  <si>
    <t>PS</t>
  </si>
  <si>
    <t xml:space="preserve">ONESOURCE Kickoff, Guidance and Control  </t>
  </si>
  <si>
    <t>ONESOURCE Technical Requirements, Architecture &amp; Performance</t>
  </si>
  <si>
    <t>ONESOURCE Functional Requirements</t>
  </si>
  <si>
    <t>ONESOURCE Configuration &amp; ERP Integration</t>
  </si>
  <si>
    <t>Fiscal Operations and Use Case Definition Requirements</t>
  </si>
  <si>
    <t>ONESOURCE Testing, UAT and Tax Determination Scenarios</t>
  </si>
  <si>
    <t>ONESOURCE Production Readiness, Go Live, Stabilization</t>
  </si>
  <si>
    <t>Total ONESOURCE Implementation Services</t>
  </si>
  <si>
    <t>TCO - ONESOURCE Determination Implementation &amp; Training Services</t>
  </si>
  <si>
    <t>Consulting and Training Fees</t>
  </si>
  <si>
    <t xml:space="preserve">Estimated Hours </t>
  </si>
  <si>
    <t>Cost</t>
  </si>
  <si>
    <t xml:space="preserve">ONESOURCE Consulting Implementation Services </t>
  </si>
  <si>
    <t>ONESOURCE Determination Onsite Training (up to 6 attendees)</t>
  </si>
  <si>
    <t>ONSOURCE Determination ERP Integration Training</t>
  </si>
  <si>
    <t xml:space="preserve">Total </t>
  </si>
  <si>
    <t>Filing Date</t>
  </si>
  <si>
    <t>Responsible Name</t>
  </si>
  <si>
    <t>Corporate Information</t>
  </si>
  <si>
    <t>How many companies (headquarters/branches) will be implemented in this project?</t>
  </si>
  <si>
    <t>How many brazilian states are the companies placed?</t>
  </si>
  <si>
    <t xml:space="preserve">Warehouse shipment of goods </t>
  </si>
  <si>
    <t>Company goods transfer</t>
  </si>
  <si>
    <t>Shipping, leasing and loans</t>
  </si>
  <si>
    <t>Third-party sales</t>
  </si>
  <si>
    <t>Repair shipment of goods</t>
  </si>
  <si>
    <t>Manufacturing shipment of goods</t>
  </si>
  <si>
    <t>Destruction shipment of goods</t>
  </si>
  <si>
    <t>Questions</t>
  </si>
  <si>
    <t>Answers</t>
  </si>
  <si>
    <r>
      <t xml:space="preserve">What are the </t>
    </r>
    <r>
      <rPr>
        <b/>
        <sz val="10"/>
        <color indexed="8"/>
        <rFont val="Arial"/>
        <family val="2"/>
      </rPr>
      <t>main activities</t>
    </r>
    <r>
      <rPr>
        <sz val="10"/>
        <color indexed="8"/>
        <rFont val="Arial"/>
        <family val="2"/>
      </rPr>
      <t xml:space="preserve"> of your company, based on Brazilian regulation? </t>
    </r>
    <r>
      <rPr>
        <b/>
        <sz val="10"/>
        <color indexed="8"/>
        <rFont val="Arial"/>
        <family val="2"/>
      </rPr>
      <t>Ex:</t>
    </r>
    <r>
      <rPr>
        <sz val="10"/>
        <color indexed="8"/>
        <rFont val="Arial"/>
        <family val="2"/>
      </rPr>
      <t xml:space="preserve"> import, manufacturer, reseller, services provider, etc.</t>
    </r>
  </si>
  <si>
    <t>Which option is going to be the implementation model?</t>
  </si>
  <si>
    <t>Does your company mantain stock? (warehouses, distribution centers, etc.) If so, which states?</t>
  </si>
  <si>
    <t>Does your company during sales or purchase process can be considered as industry?</t>
  </si>
  <si>
    <t>How many products (NCM codes) do apply to your business for Sales and Purchase simultaneously?</t>
  </si>
  <si>
    <t>Choose the specific operations that your company work:</t>
  </si>
  <si>
    <r>
      <t xml:space="preserve">When does your company want to implement ONESOURCE Indirect Tax Determination? </t>
    </r>
    <r>
      <rPr>
        <b/>
        <sz val="10"/>
        <color indexed="8"/>
        <rFont val="Arial"/>
        <family val="2"/>
      </rPr>
      <t>Ex:</t>
    </r>
    <r>
      <rPr>
        <sz val="10"/>
        <color indexed="8"/>
        <rFont val="Arial"/>
        <family val="2"/>
      </rPr>
      <t xml:space="preserve"> 3 months after contract signature.</t>
    </r>
  </si>
  <si>
    <t>Which business processes would you like to implement ONESOURCE Indirect Tax Determination?</t>
  </si>
  <si>
    <t>Is the Tax Calculation going to be needed for Goods and/or Services?</t>
  </si>
  <si>
    <t>What is the company role in supply chain management?</t>
  </si>
  <si>
    <t>Purchase</t>
  </si>
  <si>
    <r>
      <t xml:space="preserve">Please provide a list of all </t>
    </r>
    <r>
      <rPr>
        <b/>
        <sz val="10"/>
        <color indexed="8"/>
        <rFont val="Arial"/>
        <family val="2"/>
      </rPr>
      <t>NCM codes</t>
    </r>
    <r>
      <rPr>
        <sz val="10"/>
        <color indexed="8"/>
        <rFont val="Arial"/>
        <family val="2"/>
      </rPr>
      <t xml:space="preserve"> that your company </t>
    </r>
    <r>
      <rPr>
        <b/>
        <sz val="10"/>
        <color indexed="8"/>
        <rFont val="Arial"/>
        <family val="2"/>
      </rPr>
      <t>purchase</t>
    </r>
    <r>
      <rPr>
        <sz val="10"/>
        <color indexed="8"/>
        <rFont val="Arial"/>
        <family val="2"/>
      </rPr>
      <t xml:space="preserve">. Go to </t>
    </r>
    <r>
      <rPr>
        <b/>
        <sz val="10"/>
        <color indexed="8"/>
        <rFont val="Arial"/>
        <family val="2"/>
      </rPr>
      <t>NCM List Purchase Tab</t>
    </r>
    <r>
      <rPr>
        <sz val="10"/>
        <color indexed="8"/>
        <rFont val="Arial"/>
        <family val="2"/>
      </rPr>
      <t>.</t>
    </r>
  </si>
  <si>
    <r>
      <t xml:space="preserve">Which suppliers do your company have? </t>
    </r>
    <r>
      <rPr>
        <b/>
        <sz val="10"/>
        <color indexed="8"/>
        <rFont val="Arial"/>
        <family val="2"/>
      </rPr>
      <t>Ex:</t>
    </r>
    <r>
      <rPr>
        <sz val="10"/>
        <color indexed="8"/>
        <rFont val="Arial"/>
        <family val="2"/>
      </rPr>
      <t xml:space="preserve"> import, manufacturers, distributors, taxpayers, "simples nacional".</t>
    </r>
  </si>
  <si>
    <r>
      <t xml:space="preserve">Which states are your suppliers located? </t>
    </r>
    <r>
      <rPr>
        <b/>
        <sz val="10"/>
        <color indexed="8"/>
        <rFont val="Arial"/>
        <family val="2"/>
      </rPr>
      <t>Ex:</t>
    </r>
    <r>
      <rPr>
        <sz val="10"/>
        <color indexed="8"/>
        <rFont val="Arial"/>
        <family val="2"/>
      </rPr>
      <t xml:space="preserve"> AP, RJ, SP, etc.</t>
    </r>
  </si>
  <si>
    <r>
      <t xml:space="preserve">Which states are the items purchased from? </t>
    </r>
    <r>
      <rPr>
        <b/>
        <sz val="10"/>
        <color indexed="8"/>
        <rFont val="Arial"/>
        <family val="2"/>
      </rPr>
      <t>Ex:</t>
    </r>
    <r>
      <rPr>
        <sz val="10"/>
        <color indexed="8"/>
        <rFont val="Arial"/>
        <family val="2"/>
      </rPr>
      <t xml:space="preserve"> AP, RJ, SP, etc.</t>
    </r>
  </si>
  <si>
    <r>
      <t xml:space="preserve">Does your company </t>
    </r>
    <r>
      <rPr>
        <b/>
        <sz val="10"/>
        <color indexed="8"/>
        <rFont val="Arial"/>
        <family val="2"/>
      </rPr>
      <t>purchase</t>
    </r>
    <r>
      <rPr>
        <sz val="10"/>
        <color indexed="8"/>
        <rFont val="Arial"/>
        <family val="2"/>
      </rPr>
      <t xml:space="preserve"> any goods subjected to ICMS Tax Substituition (ICMS-ST)? If yes, please inform if the role is "substitute taxpayer" or "replaced taxpayer".</t>
    </r>
  </si>
  <si>
    <r>
      <t xml:space="preserve">Does your company purchase goods from suppliers located in a </t>
    </r>
    <r>
      <rPr>
        <b/>
        <sz val="10"/>
        <color indexed="8"/>
        <rFont val="Arial"/>
        <family val="2"/>
      </rPr>
      <t>free trade zone area</t>
    </r>
    <r>
      <rPr>
        <sz val="10"/>
        <color indexed="8"/>
        <rFont val="Arial"/>
        <family val="2"/>
      </rPr>
      <t xml:space="preserve">? </t>
    </r>
    <r>
      <rPr>
        <b/>
        <sz val="10"/>
        <color indexed="8"/>
        <rFont val="Arial"/>
        <family val="2"/>
      </rPr>
      <t xml:space="preserve">Ex: </t>
    </r>
    <r>
      <rPr>
        <sz val="10"/>
        <color indexed="8"/>
        <rFont val="Arial"/>
        <family val="2"/>
      </rPr>
      <t>Manaus</t>
    </r>
  </si>
  <si>
    <r>
      <t>Does your company buy any goods subjected to a</t>
    </r>
    <r>
      <rPr>
        <b/>
        <sz val="10"/>
        <color indexed="8"/>
        <rFont val="Arial"/>
        <family val="2"/>
      </rPr>
      <t xml:space="preserve"> fiscal benefit</t>
    </r>
    <r>
      <rPr>
        <sz val="10"/>
        <color indexed="8"/>
        <rFont val="Arial"/>
        <family val="2"/>
      </rPr>
      <t xml:space="preserve">? </t>
    </r>
    <r>
      <rPr>
        <b/>
        <sz val="10"/>
        <color indexed="8"/>
        <rFont val="Arial"/>
        <family val="2"/>
      </rPr>
      <t>Ex:</t>
    </r>
    <r>
      <rPr>
        <sz val="10"/>
        <color indexed="8"/>
        <rFont val="Arial"/>
        <family val="2"/>
      </rPr>
      <t xml:space="preserve"> tax base reduction, exemption calculation, etc.</t>
    </r>
  </si>
  <si>
    <r>
      <t xml:space="preserve">Is there a </t>
    </r>
    <r>
      <rPr>
        <b/>
        <sz val="10"/>
        <color indexed="8"/>
        <rFont val="Arial"/>
        <family val="2"/>
      </rPr>
      <t>special regime</t>
    </r>
    <r>
      <rPr>
        <sz val="10"/>
        <color indexed="8"/>
        <rFont val="Arial"/>
        <family val="2"/>
      </rPr>
      <t xml:space="preserve"> that applies to your purchase operations? Which?</t>
    </r>
  </si>
  <si>
    <t>Does your company have import operations?  If so, for which countries?</t>
  </si>
  <si>
    <t>How many purchase orders are submitted monthly?</t>
  </si>
  <si>
    <t>What is the average number of lines in purchase orders?</t>
  </si>
  <si>
    <r>
      <t xml:space="preserve">Please provide a list of all the </t>
    </r>
    <r>
      <rPr>
        <b/>
        <sz val="10"/>
        <color indexed="8"/>
        <rFont val="Arial"/>
        <family val="2"/>
      </rPr>
      <t>services</t>
    </r>
    <r>
      <rPr>
        <sz val="10"/>
        <color indexed="8"/>
        <rFont val="Arial"/>
        <family val="2"/>
      </rPr>
      <t xml:space="preserve"> that your company </t>
    </r>
    <r>
      <rPr>
        <b/>
        <sz val="10"/>
        <color indexed="8"/>
        <rFont val="Arial"/>
        <family val="2"/>
      </rPr>
      <t xml:space="preserve">retains. </t>
    </r>
    <r>
      <rPr>
        <sz val="10"/>
        <color indexed="8"/>
        <rFont val="Arial"/>
        <family val="2"/>
      </rPr>
      <t>Go to</t>
    </r>
    <r>
      <rPr>
        <b/>
        <sz val="10"/>
        <color indexed="8"/>
        <rFont val="Arial"/>
        <family val="2"/>
      </rPr>
      <t xml:space="preserve"> NCM List Purchase Tab.</t>
    </r>
  </si>
  <si>
    <r>
      <t xml:space="preserve">Which </t>
    </r>
    <r>
      <rPr>
        <b/>
        <sz val="10"/>
        <color indexed="8"/>
        <rFont val="Arial"/>
        <family val="2"/>
      </rPr>
      <t>municipalities</t>
    </r>
    <r>
      <rPr>
        <sz val="10"/>
        <color indexed="8"/>
        <rFont val="Arial"/>
        <family val="2"/>
      </rPr>
      <t xml:space="preserve"> have the services </t>
    </r>
    <r>
      <rPr>
        <b/>
        <sz val="10"/>
        <color indexed="8"/>
        <rFont val="Arial"/>
        <family val="2"/>
      </rPr>
      <t>retained</t>
    </r>
    <r>
      <rPr>
        <sz val="10"/>
        <color indexed="8"/>
        <rFont val="Arial"/>
        <family val="2"/>
      </rPr>
      <t xml:space="preserve">? Go to </t>
    </r>
    <r>
      <rPr>
        <b/>
        <sz val="10"/>
        <color indexed="8"/>
        <rFont val="Arial"/>
        <family val="2"/>
      </rPr>
      <t>Municipalities List.</t>
    </r>
  </si>
  <si>
    <r>
      <t xml:space="preserve">Which services does the company have </t>
    </r>
    <r>
      <rPr>
        <b/>
        <sz val="10"/>
        <color indexed="8"/>
        <rFont val="Arial"/>
        <family val="2"/>
      </rPr>
      <t>withholding taxes</t>
    </r>
    <r>
      <rPr>
        <sz val="10"/>
        <color indexed="8"/>
        <rFont val="Arial"/>
        <family val="2"/>
      </rPr>
      <t>?</t>
    </r>
  </si>
  <si>
    <r>
      <t xml:space="preserve">Which taxes does the company have </t>
    </r>
    <r>
      <rPr>
        <b/>
        <sz val="10"/>
        <color indexed="8"/>
        <rFont val="Arial"/>
        <family val="2"/>
      </rPr>
      <t>withholding taxes</t>
    </r>
    <r>
      <rPr>
        <sz val="10"/>
        <color indexed="8"/>
        <rFont val="Arial"/>
        <family val="2"/>
      </rPr>
      <t>?</t>
    </r>
  </si>
  <si>
    <t>Sales</t>
  </si>
  <si>
    <r>
      <t xml:space="preserve">Please provide a list of all </t>
    </r>
    <r>
      <rPr>
        <b/>
        <sz val="10"/>
        <color indexed="8"/>
        <rFont val="Arial"/>
        <family val="2"/>
      </rPr>
      <t>NCM codes</t>
    </r>
    <r>
      <rPr>
        <sz val="10"/>
        <color indexed="8"/>
        <rFont val="Arial"/>
        <family val="2"/>
      </rPr>
      <t xml:space="preserve"> that your company </t>
    </r>
    <r>
      <rPr>
        <b/>
        <sz val="10"/>
        <color indexed="8"/>
        <rFont val="Arial"/>
        <family val="2"/>
      </rPr>
      <t>sell</t>
    </r>
    <r>
      <rPr>
        <sz val="10"/>
        <color indexed="8"/>
        <rFont val="Arial"/>
        <family val="2"/>
      </rPr>
      <t xml:space="preserve">. Go to </t>
    </r>
    <r>
      <rPr>
        <b/>
        <sz val="10"/>
        <color indexed="8"/>
        <rFont val="Arial"/>
        <family val="2"/>
      </rPr>
      <t>NCM List Sales Tab.</t>
    </r>
  </si>
  <si>
    <r>
      <t xml:space="preserve">Which customers do your company have? </t>
    </r>
    <r>
      <rPr>
        <b/>
        <sz val="10"/>
        <color indexed="8"/>
        <rFont val="Arial"/>
        <family val="2"/>
      </rPr>
      <t>Ex:</t>
    </r>
    <r>
      <rPr>
        <sz val="10"/>
        <color indexed="8"/>
        <rFont val="Arial"/>
        <family val="2"/>
      </rPr>
      <t xml:space="preserve"> resellers, retailers, final users, etc.</t>
    </r>
  </si>
  <si>
    <r>
      <t xml:space="preserve">Which states are your customers located? </t>
    </r>
    <r>
      <rPr>
        <b/>
        <sz val="10"/>
        <color indexed="8"/>
        <rFont val="Arial"/>
        <family val="2"/>
      </rPr>
      <t>Ex:</t>
    </r>
    <r>
      <rPr>
        <sz val="10"/>
        <color indexed="8"/>
        <rFont val="Arial"/>
        <family val="2"/>
      </rPr>
      <t xml:space="preserve"> AP, RJ, SP, etc.</t>
    </r>
  </si>
  <si>
    <r>
      <t xml:space="preserve">Which states are the items sold to? </t>
    </r>
    <r>
      <rPr>
        <b/>
        <sz val="10"/>
        <color indexed="8"/>
        <rFont val="Arial"/>
        <family val="2"/>
      </rPr>
      <t>Ex:</t>
    </r>
    <r>
      <rPr>
        <sz val="10"/>
        <color indexed="8"/>
        <rFont val="Arial"/>
        <family val="2"/>
      </rPr>
      <t xml:space="preserve"> AP, RJ, SP, etc.</t>
    </r>
  </si>
  <si>
    <r>
      <t xml:space="preserve">Does your company </t>
    </r>
    <r>
      <rPr>
        <b/>
        <sz val="10"/>
        <color indexed="8"/>
        <rFont val="Arial"/>
        <family val="2"/>
      </rPr>
      <t>sell</t>
    </r>
    <r>
      <rPr>
        <sz val="10"/>
        <color indexed="8"/>
        <rFont val="Arial"/>
        <family val="2"/>
      </rPr>
      <t xml:space="preserve"> any goods subjected to ICMS Tax Substituition (ICMS-ST)? If yes, please inform if the role is "substitute taxpayer" or "replaced taxpayer".</t>
    </r>
  </si>
  <si>
    <r>
      <t xml:space="preserve">Does your company </t>
    </r>
    <r>
      <rPr>
        <b/>
        <sz val="10"/>
        <color indexed="8"/>
        <rFont val="Arial"/>
        <family val="2"/>
      </rPr>
      <t>sell</t>
    </r>
    <r>
      <rPr>
        <sz val="10"/>
        <color indexed="8"/>
        <rFont val="Arial"/>
        <family val="2"/>
      </rPr>
      <t xml:space="preserve"> goods from suppliers located in a </t>
    </r>
    <r>
      <rPr>
        <b/>
        <sz val="10"/>
        <color indexed="8"/>
        <rFont val="Arial"/>
        <family val="2"/>
      </rPr>
      <t>free trade zone area</t>
    </r>
    <r>
      <rPr>
        <sz val="10"/>
        <color indexed="8"/>
        <rFont val="Arial"/>
        <family val="2"/>
      </rPr>
      <t xml:space="preserve">? </t>
    </r>
    <r>
      <rPr>
        <b/>
        <sz val="10"/>
        <color indexed="8"/>
        <rFont val="Arial"/>
        <family val="2"/>
      </rPr>
      <t>Ex:</t>
    </r>
    <r>
      <rPr>
        <sz val="10"/>
        <color indexed="8"/>
        <rFont val="Arial"/>
        <family val="2"/>
      </rPr>
      <t xml:space="preserve"> Manaus</t>
    </r>
  </si>
  <si>
    <r>
      <t xml:space="preserve">Does your company </t>
    </r>
    <r>
      <rPr>
        <b/>
        <sz val="10"/>
        <color indexed="8"/>
        <rFont val="Arial"/>
        <family val="2"/>
      </rPr>
      <t>sell</t>
    </r>
    <r>
      <rPr>
        <sz val="10"/>
        <color indexed="8"/>
        <rFont val="Arial"/>
        <family val="2"/>
      </rPr>
      <t xml:space="preserve"> any goods subjected to a </t>
    </r>
    <r>
      <rPr>
        <b/>
        <sz val="10"/>
        <color indexed="8"/>
        <rFont val="Arial"/>
        <family val="2"/>
      </rPr>
      <t>fiscal benefit</t>
    </r>
    <r>
      <rPr>
        <sz val="10"/>
        <color indexed="8"/>
        <rFont val="Arial"/>
        <family val="2"/>
      </rPr>
      <t>?</t>
    </r>
    <r>
      <rPr>
        <sz val="10"/>
        <color indexed="8"/>
        <rFont val="Arial"/>
        <family val="2"/>
      </rPr>
      <t xml:space="preserve"> Please, provide all NCMs in </t>
    </r>
    <r>
      <rPr>
        <b/>
        <sz val="10"/>
        <color indexed="8"/>
        <rFont val="Arial"/>
        <family val="2"/>
      </rPr>
      <t>NCM List Sales Tab</t>
    </r>
    <r>
      <rPr>
        <sz val="10"/>
        <color indexed="8"/>
        <rFont val="Arial"/>
        <family val="2"/>
      </rPr>
      <t xml:space="preserve">. </t>
    </r>
    <r>
      <rPr>
        <b/>
        <sz val="10"/>
        <color indexed="8"/>
        <rFont val="Arial"/>
        <family val="2"/>
      </rPr>
      <t>Ex:</t>
    </r>
    <r>
      <rPr>
        <sz val="10"/>
        <color indexed="8"/>
        <rFont val="Arial"/>
        <family val="2"/>
      </rPr>
      <t xml:space="preserve"> tax base reduction, exemption calculation, etc.</t>
    </r>
  </si>
  <si>
    <r>
      <t xml:space="preserve">Is there a </t>
    </r>
    <r>
      <rPr>
        <b/>
        <sz val="10"/>
        <color indexed="8"/>
        <rFont val="Arial"/>
        <family val="2"/>
      </rPr>
      <t>special regime</t>
    </r>
    <r>
      <rPr>
        <sz val="10"/>
        <color indexed="8"/>
        <rFont val="Arial"/>
        <family val="2"/>
      </rPr>
      <t xml:space="preserve"> that applies to your sales operations? Which?</t>
    </r>
  </si>
  <si>
    <r>
      <t xml:space="preserve">Does your company have </t>
    </r>
    <r>
      <rPr>
        <b/>
        <sz val="10"/>
        <color indexed="8"/>
        <rFont val="Arial"/>
        <family val="2"/>
      </rPr>
      <t>export</t>
    </r>
    <r>
      <rPr>
        <sz val="10"/>
        <color indexed="8"/>
        <rFont val="Arial"/>
        <family val="2"/>
      </rPr>
      <t xml:space="preserve"> operations?  If so, for which countries?</t>
    </r>
  </si>
  <si>
    <t>How many sales orders are submitted monthly?</t>
  </si>
  <si>
    <t>What is the average number of lines in sales orders?</t>
  </si>
  <si>
    <r>
      <t xml:space="preserve">Please provide a list of all the </t>
    </r>
    <r>
      <rPr>
        <b/>
        <sz val="10"/>
        <color indexed="8"/>
        <rFont val="Arial"/>
        <family val="2"/>
      </rPr>
      <t>services</t>
    </r>
    <r>
      <rPr>
        <sz val="10"/>
        <color indexed="8"/>
        <rFont val="Arial"/>
        <family val="2"/>
      </rPr>
      <t xml:space="preserve"> that your company </t>
    </r>
    <r>
      <rPr>
        <b/>
        <sz val="10"/>
        <color indexed="8"/>
        <rFont val="Arial"/>
        <family val="2"/>
      </rPr>
      <t xml:space="preserve">provide. </t>
    </r>
    <r>
      <rPr>
        <sz val="10"/>
        <color indexed="8"/>
        <rFont val="Arial"/>
        <family val="2"/>
      </rPr>
      <t>Go to</t>
    </r>
    <r>
      <rPr>
        <b/>
        <sz val="10"/>
        <color indexed="8"/>
        <rFont val="Arial"/>
        <family val="2"/>
      </rPr>
      <t xml:space="preserve"> NCM List Sales Tab.</t>
    </r>
  </si>
  <si>
    <r>
      <t xml:space="preserve">Which </t>
    </r>
    <r>
      <rPr>
        <b/>
        <sz val="10"/>
        <color indexed="8"/>
        <rFont val="Arial"/>
        <family val="2"/>
      </rPr>
      <t>municipalities</t>
    </r>
    <r>
      <rPr>
        <sz val="10"/>
        <color indexed="8"/>
        <rFont val="Arial"/>
        <family val="2"/>
      </rPr>
      <t xml:space="preserve"> have the services </t>
    </r>
    <r>
      <rPr>
        <b/>
        <sz val="10"/>
        <color indexed="8"/>
        <rFont val="Arial"/>
        <family val="2"/>
      </rPr>
      <t>retained</t>
    </r>
    <r>
      <rPr>
        <sz val="10"/>
        <color indexed="8"/>
        <rFont val="Arial"/>
        <family val="2"/>
      </rPr>
      <t xml:space="preserve">? Go to </t>
    </r>
    <r>
      <rPr>
        <b/>
        <sz val="10"/>
        <color indexed="8"/>
        <rFont val="Arial"/>
        <family val="2"/>
      </rPr>
      <t>Municipalities List Tab.</t>
    </r>
  </si>
  <si>
    <t>ID</t>
  </si>
  <si>
    <t>Activity / Task Description</t>
  </si>
  <si>
    <t>TRTA Hours</t>
  </si>
  <si>
    <t>Deliverables</t>
  </si>
  <si>
    <t>Considerations</t>
  </si>
  <si>
    <t>D.1</t>
  </si>
  <si>
    <t>Gerenciamento do projeto</t>
  </si>
  <si>
    <t>Support overall project planning and financial reporting</t>
  </si>
  <si>
    <t>Acompanhamento das atividades/envolvimento do cliente</t>
  </si>
  <si>
    <t>ONESOURCE Issue, documentation, deployment &amp; resource management</t>
  </si>
  <si>
    <t>Controle de atualizações/versões do produto</t>
  </si>
  <si>
    <t>Advise regarding best practices, risk management</t>
  </si>
  <si>
    <t>Reuniões tecnicas e funcionais</t>
  </si>
  <si>
    <t>D.2, D.3</t>
  </si>
  <si>
    <t>Análise do servidor do cliente</t>
  </si>
  <si>
    <t>Review and define platform technical requirements</t>
  </si>
  <si>
    <t>Análise de voolumetria</t>
  </si>
  <si>
    <t>Review and Assess Architecture, Performance &amp; Capacity per txn volumes</t>
  </si>
  <si>
    <t>Anállise técnica/arquitetura</t>
  </si>
  <si>
    <t>D.4, D.5</t>
  </si>
  <si>
    <t>Documentação funcional</t>
  </si>
  <si>
    <t>Identify, define, and document ONESOURCE Integration data-mapping</t>
  </si>
  <si>
    <t>Documentação técnica</t>
  </si>
  <si>
    <t>Identify, define, and document Company, Legal Entity and Registration Requirements</t>
  </si>
  <si>
    <t>Controle de versões de documentos</t>
  </si>
  <si>
    <t>Identify, define, and document Functional, Process &amp; Data Requirements</t>
  </si>
  <si>
    <t>Instalação feita pela Thomson Reuters</t>
  </si>
  <si>
    <t>Install ONESOURCE Determination and Load Tax Content</t>
  </si>
  <si>
    <t>Install ONESOURCE Reports and ONESOURCE ERP Integration</t>
  </si>
  <si>
    <t>D.6</t>
  </si>
  <si>
    <t xml:space="preserve">Build ONESOURCE Integration </t>
  </si>
  <si>
    <t>Setup integração ERP com Tax Engine</t>
  </si>
  <si>
    <t>Company Registrations, Legal Entity Setup</t>
  </si>
  <si>
    <t>ICMS-ST 27 estados para 25% dos produtos</t>
  </si>
  <si>
    <t>ONESOURCE Determination Configuration (Trans Editors, Reference lists, Products etc.)</t>
  </si>
  <si>
    <t>Regimes especiais, operações de entrada, Difal, base reduzida,etc</t>
  </si>
  <si>
    <t>Allocations, Rates, Rules, Authority Configuration</t>
  </si>
  <si>
    <t>Regras para 1700 municipios</t>
  </si>
  <si>
    <t>D.7</t>
  </si>
  <si>
    <t>Identify and Define Fiscal Operations, Use Cases</t>
  </si>
  <si>
    <t>Cenários fiscais serão fornecidos pelo cliente</t>
  </si>
  <si>
    <t>Create and Document Fiscal Operations, Use Case Scenarios and Plan</t>
  </si>
  <si>
    <t>D.8</t>
  </si>
  <si>
    <t xml:space="preserve">Identify, define, and document potential Standard Content gaps </t>
  </si>
  <si>
    <t>D.9</t>
  </si>
  <si>
    <t>Teste das regras e alíquotas</t>
  </si>
  <si>
    <t>Assist with Integration, Configuration Troubleshooting and Testing</t>
  </si>
  <si>
    <t>Teste de todos os regimes especiais</t>
  </si>
  <si>
    <t>Assist with Test Results and system integration tests</t>
  </si>
  <si>
    <t>Teste de todos os cenários de entrada e/ou saídas</t>
  </si>
  <si>
    <t>D.10</t>
  </si>
  <si>
    <t>Acompanhamento Go-live para os cenários testados</t>
  </si>
  <si>
    <t>Planning and Production Cutover</t>
  </si>
  <si>
    <t>Hypercare &amp; Stabilization</t>
  </si>
  <si>
    <t>Totals</t>
  </si>
  <si>
    <t>Projeto Thomson Reuters</t>
  </si>
  <si>
    <t>Hours</t>
  </si>
  <si>
    <t>Rate</t>
  </si>
  <si>
    <t>Total USD</t>
  </si>
  <si>
    <t>Total BRL</t>
  </si>
  <si>
    <t>Premium Content ICMS-ST</t>
  </si>
  <si>
    <t>Horas Parceiro</t>
  </si>
  <si>
    <t>Scope</t>
  </si>
  <si>
    <t>ERP</t>
  </si>
  <si>
    <t>Process Scope</t>
  </si>
  <si>
    <t>Archetecture</t>
  </si>
  <si>
    <t>Project Duration</t>
  </si>
  <si>
    <t>Support</t>
  </si>
  <si>
    <t>SAP</t>
  </si>
  <si>
    <t>Goods</t>
  </si>
  <si>
    <t>OTC</t>
  </si>
  <si>
    <t>Retail</t>
  </si>
  <si>
    <t>Standard</t>
  </si>
  <si>
    <t>Standard Hypercare</t>
  </si>
  <si>
    <t>Partner-Led</t>
  </si>
  <si>
    <t>Oracle R12</t>
  </si>
  <si>
    <t>Service</t>
  </si>
  <si>
    <t>PTP</t>
  </si>
  <si>
    <t>Manufacturer/Importer</t>
  </si>
  <si>
    <t>Premium</t>
  </si>
  <si>
    <t>Advanced</t>
  </si>
  <si>
    <t>Extended</t>
  </si>
  <si>
    <t>Extended Hypercare</t>
  </si>
  <si>
    <t>No</t>
  </si>
  <si>
    <t>Sole Source</t>
  </si>
  <si>
    <t>120</t>
  </si>
  <si>
    <t>Oracle 11i</t>
  </si>
  <si>
    <t>Both</t>
  </si>
  <si>
    <t>Wholesale/Distributer</t>
  </si>
  <si>
    <t>Hosted TRTA</t>
  </si>
  <si>
    <t>On-Site</t>
  </si>
  <si>
    <t>On-Site Hypercare</t>
  </si>
  <si>
    <t>Other</t>
  </si>
  <si>
    <t>Multiple</t>
  </si>
  <si>
    <t>Min</t>
  </si>
  <si>
    <t>Max</t>
  </si>
  <si>
    <t>Scale</t>
  </si>
  <si>
    <t>States</t>
  </si>
  <si>
    <t>NCM classifications</t>
  </si>
  <si>
    <t>Sales - # of Lines</t>
  </si>
  <si>
    <t>Purchases - # of Lines</t>
  </si>
  <si>
    <t>Purchase - Wth Taxes</t>
  </si>
  <si>
    <t>Sales - Wth Taxes</t>
  </si>
  <si>
    <t>Sales - Ship-From ICMS-ST States</t>
  </si>
  <si>
    <t>Sales - Ship-To ICMS-ST States Implementation</t>
  </si>
  <si>
    <t>Purchases - Ship-From ICMS-ST States</t>
  </si>
  <si>
    <t>Purchases - Ship-To ICMS-ST States Implementation</t>
  </si>
  <si>
    <t>Number of Municipalities</t>
  </si>
  <si>
    <t>Service Codes</t>
  </si>
  <si>
    <t>&lt;10</t>
  </si>
  <si>
    <t>&lt;9 States</t>
  </si>
  <si>
    <t>&lt;100</t>
  </si>
  <si>
    <t>N/A</t>
  </si>
  <si>
    <t>0</t>
  </si>
  <si>
    <t>10-25</t>
  </si>
  <si>
    <t>1.5</t>
  </si>
  <si>
    <t>9-18 States</t>
  </si>
  <si>
    <t>100-250</t>
  </si>
  <si>
    <t>1</t>
  </si>
  <si>
    <t>&lt;9 codes</t>
  </si>
  <si>
    <t>&gt;25</t>
  </si>
  <si>
    <t>&gt;18 States</t>
  </si>
  <si>
    <t>250-400</t>
  </si>
  <si>
    <t>10-20</t>
  </si>
  <si>
    <t>2</t>
  </si>
  <si>
    <t>1,5</t>
  </si>
  <si>
    <t>9-18 codes</t>
  </si>
  <si>
    <t>400-700</t>
  </si>
  <si>
    <t>20-30</t>
  </si>
  <si>
    <t>&gt;2</t>
  </si>
  <si>
    <t>&gt;18 codes</t>
  </si>
  <si>
    <t>700-1000</t>
  </si>
  <si>
    <t>30-40</t>
  </si>
  <si>
    <t>&gt;1000</t>
  </si>
  <si>
    <t>40-50</t>
  </si>
  <si>
    <t>&gt;50</t>
  </si>
  <si>
    <t xml:space="preserve">Complexity </t>
  </si>
  <si>
    <t>Combo</t>
  </si>
  <si>
    <t>Factors</t>
  </si>
  <si>
    <t>Low</t>
  </si>
  <si>
    <t>Complexity</t>
  </si>
  <si>
    <t>Activities - Standard Content</t>
  </si>
  <si>
    <t>Base</t>
  </si>
  <si>
    <t>Weight</t>
  </si>
  <si>
    <t>Estimate</t>
  </si>
  <si>
    <t>Annex</t>
  </si>
  <si>
    <t>Training Services</t>
  </si>
  <si>
    <t>Price</t>
  </si>
  <si>
    <t>ORA Integration Onsite Training (up to 6 attendees)</t>
  </si>
  <si>
    <t>SAP Integration Onsite Training (up to 6 attendees)</t>
  </si>
  <si>
    <t>Content Development Training</t>
  </si>
  <si>
    <t>Premium Content Estimator Feed</t>
  </si>
  <si>
    <t>NCM Estimator</t>
  </si>
  <si>
    <t>Pass Through</t>
  </si>
  <si>
    <t>%</t>
  </si>
  <si>
    <t>Formulas</t>
  </si>
  <si>
    <t>Subject to ICMS-ST</t>
  </si>
  <si>
    <t>Hour Factors Per NCM</t>
  </si>
  <si>
    <t xml:space="preserve">A- High Level NCM </t>
  </si>
  <si>
    <t>5-25%</t>
  </si>
  <si>
    <t>Range</t>
  </si>
  <si>
    <t>hr/NCM</t>
  </si>
  <si>
    <t># of Products</t>
  </si>
  <si>
    <t>25%-50%</t>
  </si>
  <si>
    <t>0-100</t>
  </si>
  <si>
    <t>&gt;50%</t>
  </si>
  <si>
    <t>101-200</t>
  </si>
  <si>
    <t>201+</t>
  </si>
  <si>
    <t>&lt; 3</t>
  </si>
  <si>
    <t>3-8</t>
  </si>
  <si>
    <t>B- State Level Review Tiers/ per state</t>
  </si>
  <si>
    <t>&gt;8</t>
  </si>
  <si>
    <t>C- Rule Creation/Entry Tiers</t>
  </si>
  <si>
    <t>OTHER</t>
  </si>
  <si>
    <t>OracleR12</t>
  </si>
  <si>
    <t>Oracle11i</t>
  </si>
  <si>
    <t>D- Review</t>
  </si>
  <si>
    <t xml:space="preserve">Oracle_R12 </t>
  </si>
  <si>
    <t>Multi-State Factor</t>
  </si>
  <si>
    <t>0-9</t>
  </si>
  <si>
    <t>10-18</t>
  </si>
  <si>
    <t>19-27</t>
  </si>
  <si>
    <t>Informações Gerais - POR</t>
  </si>
  <si>
    <t>General Information - ENG</t>
  </si>
  <si>
    <t>Qual será o modelo de implementação? (Comercial)</t>
  </si>
  <si>
    <t>Thomson Reuters</t>
  </si>
  <si>
    <t>Scale Criteria (soma) - máximo 11</t>
  </si>
  <si>
    <t>Thomson Reuters e Parceiro (Consultoria)</t>
  </si>
  <si>
    <t>Thomson Reuters and Partner (Consulting)</t>
  </si>
  <si>
    <t>General Criteria(soma) - máximo 8,5</t>
  </si>
  <si>
    <t>Para quais os processos de negócio você gostaria de implementar a solução ONESOURCE Indirect Tax Determination?</t>
  </si>
  <si>
    <t>Purchases</t>
  </si>
  <si>
    <t>Purchases and Sales</t>
  </si>
  <si>
    <t>O cálculo de impostos será necessário para produtos e/ou serviços?</t>
  </si>
  <si>
    <t>Services</t>
  </si>
  <si>
    <t>Formula</t>
  </si>
  <si>
    <t>Possible Values</t>
  </si>
  <si>
    <t>Goods and Services</t>
  </si>
  <si>
    <t>Project Timeline (Months)*20</t>
  </si>
  <si>
    <t>120/180/240</t>
  </si>
  <si>
    <t>Qual o papel da sua empresa na cadeia de suprimentos?</t>
  </si>
  <si>
    <t>Varejo</t>
  </si>
  <si>
    <t>Sum of General Criteria and Scale Criteria Factors 1</t>
  </si>
  <si>
    <t>60-310</t>
  </si>
  <si>
    <t>Indústria/Importador</t>
  </si>
  <si>
    <t>ONESOURCE Software Install &amp; Setup</t>
  </si>
  <si>
    <t>Distribuidor</t>
  </si>
  <si>
    <t>Sum of General Criteria and Scale Criteria Factors 2 / if Implementation Model = Partner-Led = Hours * 35%</t>
  </si>
  <si>
    <t>120-640</t>
  </si>
  <si>
    <t>Múltiplos</t>
  </si>
  <si>
    <t>Partner-Led = 40 / Sole Source = 120</t>
  </si>
  <si>
    <t>40/120</t>
  </si>
  <si>
    <t>Compras - POR</t>
  </si>
  <si>
    <t>Purchase - ENG</t>
  </si>
  <si>
    <t>ONESOURCE Content</t>
  </si>
  <si>
    <t>Premium Content Estimator</t>
  </si>
  <si>
    <t>Sua empresa possui impostos com Retenções? Se sim, quais?</t>
  </si>
  <si>
    <t>Which taxes does the company have withholding taxes?</t>
  </si>
  <si>
    <t>Based on Project Timeline (Months) = 6 - Standard (150) / 9 - Extended (220) / 12 - On-Site (400)</t>
  </si>
  <si>
    <t>150/220/400</t>
  </si>
  <si>
    <t>Based on Project Timeline (Months) = 6 - Standard Hypercare (40) / 9 - Extended Hypercare (80)
12 - On-Site Hypercare (120)</t>
  </si>
  <si>
    <t>40/80/120</t>
  </si>
  <si>
    <t>Sum of General Criteria and Scale Criteria Factors 2</t>
  </si>
  <si>
    <t>Requirements x Estimator</t>
  </si>
  <si>
    <t>10-10,5</t>
  </si>
  <si>
    <r>
      <rPr>
        <b/>
        <sz val="10"/>
        <color theme="1"/>
        <rFont val="Calibri"/>
        <family val="2"/>
        <scheme val="minor"/>
      </rPr>
      <t>Informações Gerais</t>
    </r>
    <r>
      <rPr>
        <sz val="10"/>
        <color theme="1"/>
        <rFont val="Calibri"/>
        <family val="2"/>
        <scheme val="minor"/>
      </rPr>
      <t xml:space="preserve"> / Quantas empresas (matriz/filial) serão implementadas neste projeto? </t>
    </r>
  </si>
  <si>
    <r>
      <rPr>
        <b/>
        <sz val="10"/>
        <color theme="1"/>
        <rFont val="Calibri"/>
        <family val="2"/>
        <scheme val="minor"/>
      </rPr>
      <t>Scale Criteria</t>
    </r>
    <r>
      <rPr>
        <sz val="10"/>
        <color theme="1"/>
        <rFont val="Calibri"/>
        <family val="2"/>
        <scheme val="minor"/>
      </rPr>
      <t xml:space="preserve"> / Total Branches</t>
    </r>
  </si>
  <si>
    <t>10,55-11</t>
  </si>
  <si>
    <r>
      <rPr>
        <b/>
        <sz val="10"/>
        <color theme="1"/>
        <rFont val="Calibri"/>
        <family val="2"/>
        <scheme val="minor"/>
      </rPr>
      <t xml:space="preserve">Informações Gerais </t>
    </r>
    <r>
      <rPr>
        <sz val="10"/>
        <color theme="1"/>
        <rFont val="Calibri"/>
        <family val="2"/>
        <scheme val="minor"/>
      </rPr>
      <t xml:space="preserve">/ Quantos estados as empresas estão localizadas? </t>
    </r>
  </si>
  <si>
    <r>
      <rPr>
        <b/>
        <sz val="10"/>
        <color theme="1"/>
        <rFont val="Calibri"/>
        <family val="2"/>
        <scheme val="minor"/>
      </rPr>
      <t>Scale Criteria</t>
    </r>
    <r>
      <rPr>
        <sz val="10"/>
        <color theme="1"/>
        <rFont val="Calibri"/>
        <family val="2"/>
        <scheme val="minor"/>
      </rPr>
      <t xml:space="preserve"> / State Registrations</t>
    </r>
  </si>
  <si>
    <t>Vendas - POR</t>
  </si>
  <si>
    <t>Sales - ENG</t>
  </si>
  <si>
    <t>11,05-11,45</t>
  </si>
  <si>
    <r>
      <rPr>
        <b/>
        <sz val="10"/>
        <color theme="1"/>
        <rFont val="Calibri"/>
        <family val="2"/>
        <scheme val="minor"/>
      </rPr>
      <t>Informações Gerais</t>
    </r>
    <r>
      <rPr>
        <sz val="10"/>
        <color theme="1"/>
        <rFont val="Calibri"/>
        <family val="2"/>
        <scheme val="minor"/>
      </rPr>
      <t xml:space="preserve"> / Qual será o modelo de implementação? (Comercial)</t>
    </r>
  </si>
  <si>
    <r>
      <rPr>
        <b/>
        <sz val="10"/>
        <color theme="1"/>
        <rFont val="Calibri"/>
        <family val="2"/>
        <scheme val="minor"/>
      </rPr>
      <t>Scale Criteria</t>
    </r>
    <r>
      <rPr>
        <sz val="10"/>
        <color theme="1"/>
        <rFont val="Calibri"/>
        <family val="2"/>
        <scheme val="minor"/>
      </rPr>
      <t xml:space="preserve"> / Implementation Model</t>
    </r>
  </si>
  <si>
    <t>11,5-11,9</t>
  </si>
  <si>
    <r>
      <rPr>
        <b/>
        <sz val="10"/>
        <color theme="1"/>
        <rFont val="Calibri"/>
        <family val="2"/>
        <scheme val="minor"/>
      </rPr>
      <t>Informações Gerais</t>
    </r>
    <r>
      <rPr>
        <sz val="10"/>
        <color theme="1"/>
        <rFont val="Calibri"/>
        <family val="2"/>
        <scheme val="minor"/>
      </rPr>
      <t xml:space="preserve"> / Para quais os processos de negócio você gostaria de implementar a solução ONESOURCE Indirect Tax Determination?</t>
    </r>
  </si>
  <si>
    <r>
      <rPr>
        <b/>
        <sz val="10"/>
        <color theme="1"/>
        <rFont val="Calibri"/>
        <family val="2"/>
        <scheme val="minor"/>
      </rPr>
      <t>General Criteria</t>
    </r>
    <r>
      <rPr>
        <sz val="10"/>
        <color theme="1"/>
        <rFont val="Calibri"/>
        <family val="2"/>
        <scheme val="minor"/>
      </rPr>
      <t xml:space="preserve"> / Process Scope</t>
    </r>
  </si>
  <si>
    <t>11,95-12,35</t>
  </si>
  <si>
    <r>
      <rPr>
        <b/>
        <sz val="10"/>
        <color theme="1"/>
        <rFont val="Calibri"/>
        <family val="2"/>
        <scheme val="minor"/>
      </rPr>
      <t>Informações Gerais</t>
    </r>
    <r>
      <rPr>
        <sz val="10"/>
        <color theme="1"/>
        <rFont val="Calibri"/>
        <family val="2"/>
        <scheme val="minor"/>
      </rPr>
      <t xml:space="preserve"> / O cálculo de impostos será necessário para produtos e/ou serviços?</t>
    </r>
  </si>
  <si>
    <r>
      <rPr>
        <b/>
        <sz val="10"/>
        <color theme="1"/>
        <rFont val="Calibri"/>
        <family val="2"/>
        <scheme val="minor"/>
      </rPr>
      <t>General Criteria</t>
    </r>
    <r>
      <rPr>
        <sz val="10"/>
        <color theme="1"/>
        <rFont val="Calibri"/>
        <family val="2"/>
        <scheme val="minor"/>
      </rPr>
      <t xml:space="preserve"> / Operation Type</t>
    </r>
  </si>
  <si>
    <t>12,4-12,8</t>
  </si>
  <si>
    <r>
      <rPr>
        <b/>
        <sz val="10"/>
        <color theme="1"/>
        <rFont val="Calibri"/>
        <family val="2"/>
        <scheme val="minor"/>
      </rPr>
      <t>Informações Gerais</t>
    </r>
    <r>
      <rPr>
        <sz val="10"/>
        <color theme="1"/>
        <rFont val="Calibri"/>
        <family val="2"/>
        <scheme val="minor"/>
      </rPr>
      <t xml:space="preserve"> / Qual o papel da sua empresa na cadeia de suprimentos?</t>
    </r>
  </si>
  <si>
    <r>
      <rPr>
        <b/>
        <sz val="10"/>
        <color theme="1"/>
        <rFont val="Calibri"/>
        <family val="2"/>
        <scheme val="minor"/>
      </rPr>
      <t>General Criteria</t>
    </r>
    <r>
      <rPr>
        <sz val="10"/>
        <color theme="1"/>
        <rFont val="Calibri"/>
        <family val="2"/>
        <scheme val="minor"/>
      </rPr>
      <t xml:space="preserve"> / Supply Chain Location</t>
    </r>
  </si>
  <si>
    <t>12,85-13,2</t>
  </si>
  <si>
    <r>
      <rPr>
        <b/>
        <sz val="10"/>
        <color theme="1"/>
        <rFont val="Calibri"/>
        <family val="2"/>
        <scheme val="minor"/>
      </rPr>
      <t>Informações Gerais</t>
    </r>
    <r>
      <rPr>
        <sz val="10"/>
        <color theme="1"/>
        <rFont val="Calibri"/>
        <family val="2"/>
        <scheme val="minor"/>
      </rPr>
      <t xml:space="preserve"> / Quantos códigos NCM aplicam-se ao seu negócio tanto para Vendas como para Compras?</t>
    </r>
  </si>
  <si>
    <r>
      <rPr>
        <b/>
        <sz val="10"/>
        <color theme="1"/>
        <rFont val="Calibri"/>
        <family val="2"/>
        <scheme val="minor"/>
      </rPr>
      <t>General Criteria</t>
    </r>
    <r>
      <rPr>
        <sz val="10"/>
        <color theme="1"/>
        <rFont val="Calibri"/>
        <family val="2"/>
        <scheme val="minor"/>
      </rPr>
      <t xml:space="preserve"> / # of NCMs</t>
    </r>
  </si>
  <si>
    <t>13,25-13,55</t>
  </si>
  <si>
    <r>
      <rPr>
        <b/>
        <sz val="10"/>
        <color theme="1"/>
        <rFont val="Calibri"/>
        <family val="2"/>
        <scheme val="minor"/>
      </rPr>
      <t>Compras - POR</t>
    </r>
    <r>
      <rPr>
        <sz val="10"/>
        <color theme="1"/>
        <rFont val="Calibri"/>
        <family val="2"/>
        <scheme val="minor"/>
      </rPr>
      <t xml:space="preserve"> / Sua empresa possui impostos com Retenções? Se sim, quais?</t>
    </r>
  </si>
  <si>
    <r>
      <rPr>
        <b/>
        <sz val="10"/>
        <color theme="1"/>
        <rFont val="Calibri"/>
        <family val="2"/>
        <scheme val="minor"/>
      </rPr>
      <t>Scale Criteria</t>
    </r>
    <r>
      <rPr>
        <sz val="10"/>
        <color theme="1"/>
        <rFont val="Calibri"/>
        <family val="2"/>
        <scheme val="minor"/>
      </rPr>
      <t xml:space="preserve"> / Purchases - Withholding Taxes</t>
    </r>
  </si>
  <si>
    <t>13,6-13,95</t>
  </si>
  <si>
    <r>
      <rPr>
        <b/>
        <sz val="10"/>
        <color theme="1"/>
        <rFont val="Calibri"/>
        <family val="2"/>
        <scheme val="minor"/>
      </rPr>
      <t>Vendas - POR</t>
    </r>
    <r>
      <rPr>
        <sz val="10"/>
        <color theme="1"/>
        <rFont val="Calibri"/>
        <family val="2"/>
        <scheme val="minor"/>
      </rPr>
      <t xml:space="preserve"> / Sua empresa possui impostos com Retenções? Se sim, quais?</t>
    </r>
  </si>
  <si>
    <r>
      <rPr>
        <b/>
        <sz val="10"/>
        <color theme="1"/>
        <rFont val="Calibri"/>
        <family val="2"/>
        <scheme val="minor"/>
      </rPr>
      <t>Scale Criteria</t>
    </r>
    <r>
      <rPr>
        <sz val="10"/>
        <color theme="1"/>
        <rFont val="Calibri"/>
        <family val="2"/>
        <scheme val="minor"/>
      </rPr>
      <t xml:space="preserve"> / Sales - Withholding Taxes</t>
    </r>
  </si>
  <si>
    <t>14-14,35</t>
  </si>
  <si>
    <r>
      <rPr>
        <b/>
        <sz val="10"/>
        <color theme="1"/>
        <rFont val="Calibri"/>
        <family val="2"/>
        <scheme val="minor"/>
      </rPr>
      <t>Compras - POR</t>
    </r>
    <r>
      <rPr>
        <sz val="10"/>
        <color theme="1"/>
        <rFont val="Calibri"/>
        <family val="2"/>
        <scheme val="minor"/>
      </rPr>
      <t xml:space="preserve"> / Qual o número médio de linhas nos Pedidos de Compra?</t>
    </r>
  </si>
  <si>
    <r>
      <rPr>
        <b/>
        <sz val="10"/>
        <color theme="1"/>
        <rFont val="Calibri"/>
        <family val="2"/>
        <scheme val="minor"/>
      </rPr>
      <t>Scale Criteria</t>
    </r>
    <r>
      <rPr>
        <sz val="10"/>
        <color theme="1"/>
        <rFont val="Calibri"/>
        <family val="2"/>
        <scheme val="minor"/>
      </rPr>
      <t xml:space="preserve"> / Purchases - # of lines</t>
    </r>
  </si>
  <si>
    <t>Informações Técnicas - POR</t>
  </si>
  <si>
    <t>14,4-14,7</t>
  </si>
  <si>
    <r>
      <rPr>
        <b/>
        <sz val="10"/>
        <color theme="1"/>
        <rFont val="Calibri"/>
        <family val="2"/>
        <scheme val="minor"/>
      </rPr>
      <t>Vendas - POR</t>
    </r>
    <r>
      <rPr>
        <sz val="10"/>
        <color theme="1"/>
        <rFont val="Calibri"/>
        <family val="2"/>
        <scheme val="minor"/>
      </rPr>
      <t xml:space="preserve"> / Qual o número médio de linhas nos Pedidos de Compra?</t>
    </r>
  </si>
  <si>
    <r>
      <rPr>
        <b/>
        <sz val="10"/>
        <color theme="1"/>
        <rFont val="Calibri"/>
        <family val="2"/>
        <scheme val="minor"/>
      </rPr>
      <t>Scale Criteria</t>
    </r>
    <r>
      <rPr>
        <sz val="10"/>
        <color theme="1"/>
        <rFont val="Calibri"/>
        <family val="2"/>
        <scheme val="minor"/>
      </rPr>
      <t xml:space="preserve"> / Sales - # of lines</t>
    </r>
  </si>
  <si>
    <t>Sistema de Origem</t>
  </si>
  <si>
    <t>14,75-15,05</t>
  </si>
  <si>
    <r>
      <rPr>
        <b/>
        <sz val="10"/>
        <color theme="1"/>
        <rFont val="Calibri"/>
        <family val="2"/>
        <scheme val="minor"/>
      </rPr>
      <t>Informações Técnicas - POR</t>
    </r>
    <r>
      <rPr>
        <sz val="10"/>
        <color theme="1"/>
        <rFont val="Calibri"/>
        <family val="2"/>
        <scheme val="minor"/>
      </rPr>
      <t xml:space="preserve"> / Sistema de Origem</t>
    </r>
  </si>
  <si>
    <r>
      <rPr>
        <b/>
        <sz val="10"/>
        <color theme="1"/>
        <rFont val="Calibri"/>
        <family val="2"/>
        <scheme val="minor"/>
      </rPr>
      <t>General Criteria</t>
    </r>
    <r>
      <rPr>
        <sz val="10"/>
        <color theme="1"/>
        <rFont val="Calibri"/>
        <family val="2"/>
        <scheme val="minor"/>
      </rPr>
      <t xml:space="preserve"> / ERP System</t>
    </r>
  </si>
  <si>
    <t>15,1-15,4</t>
  </si>
  <si>
    <t>15,45-15,75</t>
  </si>
  <si>
    <t>15,8-16,05</t>
  </si>
  <si>
    <t>Outro</t>
  </si>
  <si>
    <t>16,1-16,4</t>
  </si>
  <si>
    <t>Infraestrutura</t>
  </si>
  <si>
    <t>16,45-16,7</t>
  </si>
  <si>
    <t>Própria</t>
  </si>
  <si>
    <t>16,75-17,05</t>
  </si>
  <si>
    <t>Datacenter Thomson Reuters</t>
  </si>
  <si>
    <t>17,1-17,35</t>
  </si>
  <si>
    <t>17,4-17,65</t>
  </si>
  <si>
    <t>17,7-17,95</t>
  </si>
  <si>
    <t>18-18,25</t>
  </si>
  <si>
    <t>18,3-18,6</t>
  </si>
  <si>
    <t>18,65-18,9</t>
  </si>
  <si>
    <t>18,95-19,2</t>
  </si>
  <si>
    <t>...</t>
  </si>
  <si>
    <t>19,25-19,5</t>
  </si>
  <si>
    <t>Brazil ICMS-ST Project Calculator</t>
  </si>
  <si>
    <t>Data Feed</t>
  </si>
  <si>
    <t>High</t>
  </si>
  <si>
    <t>Number of NCM Codes</t>
  </si>
  <si>
    <t>Applicable States</t>
  </si>
  <si>
    <t>Grouping Factor</t>
  </si>
  <si>
    <t>Premium Content Analysis and Design</t>
  </si>
  <si>
    <t>Premium Content Legal Research</t>
  </si>
  <si>
    <t>Premium Contnet Sytem Entry</t>
  </si>
  <si>
    <t xml:space="preserve">Premium Content SSAE-16 Review </t>
  </si>
  <si>
    <t>Total Project Hours</t>
  </si>
  <si>
    <t>Hour Price</t>
  </si>
  <si>
    <t>Estimated Cost</t>
  </si>
  <si>
    <t>Content Implementation</t>
  </si>
  <si>
    <t>Product Segments for ICMS-ST</t>
  </si>
  <si>
    <t>Municipalities</t>
  </si>
  <si>
    <t>10 - Materiais de Construção e Congêneres</t>
  </si>
  <si>
    <t>Existing Content Municipalities</t>
  </si>
  <si>
    <t>12 - Materiais Elétricos</t>
  </si>
  <si>
    <t>if exists actual list (324)</t>
  </si>
  <si>
    <t xml:space="preserve"> Acailandia</t>
  </si>
  <si>
    <t>21 - Produtos Eletrônicos, Eletroeletrônicos e Eletrodomésticos</t>
  </si>
  <si>
    <t>if not in content</t>
  </si>
  <si>
    <t xml:space="preserve"> Alagoinhas</t>
  </si>
  <si>
    <t>24 - Tintas e Vernizes</t>
  </si>
  <si>
    <t xml:space="preserve"> Alegrete</t>
  </si>
  <si>
    <t>01 - Autopeças</t>
  </si>
  <si>
    <t xml:space="preserve"> Almeirim</t>
  </si>
  <si>
    <t>04 - Cigarros e outros Produtos Derivados do fumo</t>
  </si>
  <si>
    <t xml:space="preserve"> Altamira</t>
  </si>
  <si>
    <t>05 - Cimentos</t>
  </si>
  <si>
    <t xml:space="preserve"> Alvorada</t>
  </si>
  <si>
    <t>06 - Combustíveis e Lubrificantes</t>
  </si>
  <si>
    <t xml:space="preserve"> Americana</t>
  </si>
  <si>
    <t>07 - Energia Elétrica</t>
  </si>
  <si>
    <t xml:space="preserve"> Amparo SP</t>
  </si>
  <si>
    <t>08 - Ferramentas</t>
  </si>
  <si>
    <t xml:space="preserve"> Ananindeua</t>
  </si>
  <si>
    <t>09 - Lâmpadas, Reatores e "Starter"</t>
  </si>
  <si>
    <t xml:space="preserve"> Anapolis</t>
  </si>
  <si>
    <t>11 - Materiais de Limpeza</t>
  </si>
  <si>
    <t xml:space="preserve"> Anchieta</t>
  </si>
  <si>
    <t>14- Papeis, plasticos, produtos ceramicos e vidros</t>
  </si>
  <si>
    <t xml:space="preserve"> Angra dos Reis</t>
  </si>
  <si>
    <t>16 - Pneumáticos, Câmaras de ar e Protetores de Borracha</t>
  </si>
  <si>
    <t xml:space="preserve"> Aparecida de Goiania</t>
  </si>
  <si>
    <t>17 - Produtos Alimentícios</t>
  </si>
  <si>
    <t xml:space="preserve"> Aparecida do Taboado</t>
  </si>
  <si>
    <t>19 - Produtos de Papelaria</t>
  </si>
  <si>
    <t xml:space="preserve"> Aracaju</t>
  </si>
  <si>
    <t>20 - Produtos de Perfumaria e de Higiene Pessoal e Cosméticos</t>
  </si>
  <si>
    <t xml:space="preserve"> Aracas</t>
  </si>
  <si>
    <t>22 - Rações para animais domésticos</t>
  </si>
  <si>
    <t xml:space="preserve"> Araguaina</t>
  </si>
  <si>
    <t>23 - Sorvetes e Preparados para Fabricação de Sorvetes em máquinas</t>
  </si>
  <si>
    <t xml:space="preserve"> Araguari</t>
  </si>
  <si>
    <t>25 - Veículos Automotores</t>
  </si>
  <si>
    <t xml:space="preserve"> Arapiraca</t>
  </si>
  <si>
    <t>26 - Veículos de duas e três rodas motorizados</t>
  </si>
  <si>
    <t xml:space="preserve"> Araraquara</t>
  </si>
  <si>
    <t>28 - Venda de mercadorias pelo sistema porta a porta</t>
  </si>
  <si>
    <t xml:space="preserve"> Araras</t>
  </si>
  <si>
    <t>02 - Bebidas Alcoólicas, exceto Cerveja e Chope</t>
  </si>
  <si>
    <t xml:space="preserve"> Araucaria</t>
  </si>
  <si>
    <t>03 - Cervejas, Chopes, Refrigerantes, Águas e Outras Bebidas</t>
  </si>
  <si>
    <t xml:space="preserve"> Ariquemes</t>
  </si>
  <si>
    <t>13 - Medicamentos de uso humano e outros produtos farmacêuticos para uso humano ou veterinário</t>
  </si>
  <si>
    <t xml:space="preserve"> Artur Nogueira</t>
  </si>
  <si>
    <t xml:space="preserve"> Aruja</t>
  </si>
  <si>
    <t xml:space="preserve"> Atibaia</t>
  </si>
  <si>
    <t xml:space="preserve"> Bacabal</t>
  </si>
  <si>
    <t xml:space="preserve"> Bage</t>
  </si>
  <si>
    <t xml:space="preserve"> Balneario Camboriu</t>
  </si>
  <si>
    <t xml:space="preserve"> Barbacena</t>
  </si>
  <si>
    <t xml:space="preserve"> Barcarena</t>
  </si>
  <si>
    <t xml:space="preserve"> Barreiras</t>
  </si>
  <si>
    <t xml:space="preserve"> Barueri</t>
  </si>
  <si>
    <t xml:space="preserve"> Bauru</t>
  </si>
  <si>
    <t xml:space="preserve"> Belem</t>
  </si>
  <si>
    <t xml:space="preserve"> Belford Roxo</t>
  </si>
  <si>
    <t xml:space="preserve"> Belo Horizonte</t>
  </si>
  <si>
    <t xml:space="preserve"> Betim</t>
  </si>
  <si>
    <t xml:space="preserve"> Blumenau</t>
  </si>
  <si>
    <t xml:space="preserve"> Boa Vista RR</t>
  </si>
  <si>
    <t xml:space="preserve"> Boituva</t>
  </si>
  <si>
    <t xml:space="preserve"> Bom Jesus da Lapa</t>
  </si>
  <si>
    <t xml:space="preserve"> Bom Jesus dos Perdoes</t>
  </si>
  <si>
    <t xml:space="preserve"> Braganca Paulista</t>
  </si>
  <si>
    <t xml:space="preserve"> Brasilia</t>
  </si>
  <si>
    <t xml:space="preserve"> Brumadinho</t>
  </si>
  <si>
    <t xml:space="preserve"> Cabedelo</t>
  </si>
  <si>
    <t xml:space="preserve"> Cabo de Santo Agostinho</t>
  </si>
  <si>
    <t xml:space="preserve"> Cabo Frio</t>
  </si>
  <si>
    <t xml:space="preserve"> Cachoeirinha RS</t>
  </si>
  <si>
    <t xml:space="preserve"> Cachoeiro de Itapemirim</t>
  </si>
  <si>
    <t xml:space="preserve"> Caieiras</t>
  </si>
  <si>
    <t xml:space="preserve"> Cajamar</t>
  </si>
  <si>
    <t xml:space="preserve"> Camacari</t>
  </si>
  <si>
    <t xml:space="preserve"> Camaragibe</t>
  </si>
  <si>
    <t xml:space="preserve"> Cambe</t>
  </si>
  <si>
    <t xml:space="preserve"> Campina Grande</t>
  </si>
  <si>
    <t xml:space="preserve"> Campinas</t>
  </si>
  <si>
    <t xml:space="preserve"> Campo Grande MS</t>
  </si>
  <si>
    <t xml:space="preserve"> Campo Largo</t>
  </si>
  <si>
    <t xml:space="preserve"> Campo Limpo Paulista</t>
  </si>
  <si>
    <t xml:space="preserve"> Campos dos Goytacazes</t>
  </si>
  <si>
    <t xml:space="preserve"> Candeias</t>
  </si>
  <si>
    <t xml:space="preserve"> Canoas</t>
  </si>
  <si>
    <t xml:space="preserve"> Capivari</t>
  </si>
  <si>
    <t xml:space="preserve"> Caraguatatuba</t>
  </si>
  <si>
    <t xml:space="preserve"> Carapicuiba</t>
  </si>
  <si>
    <t xml:space="preserve"> Cariacica</t>
  </si>
  <si>
    <t xml:space="preserve"> Caruaru</t>
  </si>
  <si>
    <t xml:space="preserve"> Cascavel PR</t>
  </si>
  <si>
    <t xml:space="preserve"> Castanhal</t>
  </si>
  <si>
    <t xml:space="preserve"> Castro</t>
  </si>
  <si>
    <t xml:space="preserve"> Catalao</t>
  </si>
  <si>
    <t xml:space="preserve"> Catanduva</t>
  </si>
  <si>
    <t xml:space="preserve"> Catu</t>
  </si>
  <si>
    <t xml:space="preserve"> Caucaia</t>
  </si>
  <si>
    <t xml:space="preserve"> Caxias do Sul</t>
  </si>
  <si>
    <t xml:space="preserve"> Ceres</t>
  </si>
  <si>
    <t xml:space="preserve"> Chapeco</t>
  </si>
  <si>
    <t xml:space="preserve"> Colatina</t>
  </si>
  <si>
    <t xml:space="preserve"> Colombo</t>
  </si>
  <si>
    <t xml:space="preserve"> Conchal</t>
  </si>
  <si>
    <t xml:space="preserve"> Congonhas</t>
  </si>
  <si>
    <t xml:space="preserve"> Contagem</t>
  </si>
  <si>
    <t xml:space="preserve"> Cordeiropolis</t>
  </si>
  <si>
    <t xml:space="preserve"> Coronel Fabriciano</t>
  </si>
  <si>
    <t xml:space="preserve"> Cosmopolis</t>
  </si>
  <si>
    <t xml:space="preserve"> Cotia</t>
  </si>
  <si>
    <t xml:space="preserve"> Criciuma</t>
  </si>
  <si>
    <t xml:space="preserve"> Cubatao</t>
  </si>
  <si>
    <t xml:space="preserve"> Cuiaba</t>
  </si>
  <si>
    <t xml:space="preserve"> Curitiba</t>
  </si>
  <si>
    <t xml:space="preserve"> Diadema</t>
  </si>
  <si>
    <t xml:space="preserve"> Divinopolis</t>
  </si>
  <si>
    <t xml:space="preserve"> Duque de Caxias</t>
  </si>
  <si>
    <t xml:space="preserve"> Embu</t>
  </si>
  <si>
    <t xml:space="preserve"> Entre Rios</t>
  </si>
  <si>
    <t xml:space="preserve"> Esplanada</t>
  </si>
  <si>
    <t xml:space="preserve"> Eunapolis</t>
  </si>
  <si>
    <t xml:space="preserve"> Extrema</t>
  </si>
  <si>
    <t xml:space="preserve"> Farroupilha</t>
  </si>
  <si>
    <t xml:space="preserve"> Feira de Santana</t>
  </si>
  <si>
    <t xml:space="preserve"> Ferreira Gomes</t>
  </si>
  <si>
    <t xml:space="preserve"> Florianopolis</t>
  </si>
  <si>
    <t xml:space="preserve"> Formosa</t>
  </si>
  <si>
    <t xml:space="preserve"> Fortaleza</t>
  </si>
  <si>
    <t xml:space="preserve"> Foz do Iguacu</t>
  </si>
  <si>
    <t xml:space="preserve"> Franca</t>
  </si>
  <si>
    <t xml:space="preserve"> Garibaldi</t>
  </si>
  <si>
    <t xml:space="preserve"> Gaspar</t>
  </si>
  <si>
    <t xml:space="preserve"> Goiana PE</t>
  </si>
  <si>
    <t xml:space="preserve"> Goiania</t>
  </si>
  <si>
    <t xml:space="preserve"> Governador Valadares</t>
  </si>
  <si>
    <t xml:space="preserve"> Gramado</t>
  </si>
  <si>
    <t xml:space="preserve"> Gravata</t>
  </si>
  <si>
    <t xml:space="preserve"> Gravatai</t>
  </si>
  <si>
    <t xml:space="preserve"> Guaiba</t>
  </si>
  <si>
    <t xml:space="preserve"> Guanambi</t>
  </si>
  <si>
    <t xml:space="preserve"> Guaruja</t>
  </si>
  <si>
    <t xml:space="preserve"> Guarulhos</t>
  </si>
  <si>
    <t xml:space="preserve"> Gurupi</t>
  </si>
  <si>
    <t xml:space="preserve"> Hortolandia</t>
  </si>
  <si>
    <t xml:space="preserve"> Ibipora</t>
  </si>
  <si>
    <t xml:space="preserve"> Ilheus</t>
  </si>
  <si>
    <t xml:space="preserve"> Imperatriz</t>
  </si>
  <si>
    <t xml:space="preserve"> Indaiatuba</t>
  </si>
  <si>
    <t xml:space="preserve"> Ipatinga</t>
  </si>
  <si>
    <t xml:space="preserve"> Ipojuca</t>
  </si>
  <si>
    <t xml:space="preserve"> Iracemapolis</t>
  </si>
  <si>
    <t xml:space="preserve"> Irece</t>
  </si>
  <si>
    <t xml:space="preserve"> Itabira</t>
  </si>
  <si>
    <t xml:space="preserve"> Itabirito</t>
  </si>
  <si>
    <t xml:space="preserve"> Itabuna</t>
  </si>
  <si>
    <t xml:space="preserve"> Itaguai</t>
  </si>
  <si>
    <t xml:space="preserve"> Itaituba</t>
  </si>
  <si>
    <t xml:space="preserve"> Itajai</t>
  </si>
  <si>
    <t xml:space="preserve"> Itajuba</t>
  </si>
  <si>
    <t xml:space="preserve"> Itapecerica da Serra</t>
  </si>
  <si>
    <t xml:space="preserve"> Itapevi</t>
  </si>
  <si>
    <t xml:space="preserve"> Itapoa</t>
  </si>
  <si>
    <t xml:space="preserve"> Itaquaquecetuba</t>
  </si>
  <si>
    <t xml:space="preserve"> Itarare</t>
  </si>
  <si>
    <t xml:space="preserve"> Itatiba</t>
  </si>
  <si>
    <t xml:space="preserve"> Itu</t>
  </si>
  <si>
    <t xml:space="preserve"> Ituiutaba</t>
  </si>
  <si>
    <t xml:space="preserve"> Itumbiara</t>
  </si>
  <si>
    <t xml:space="preserve"> Itupeva</t>
  </si>
  <si>
    <t xml:space="preserve"> Ituverava</t>
  </si>
  <si>
    <t xml:space="preserve"> Jaboatao dos Guararapes</t>
  </si>
  <si>
    <t xml:space="preserve"> Jaboticabal</t>
  </si>
  <si>
    <t xml:space="preserve"> Jacarei</t>
  </si>
  <si>
    <t xml:space="preserve"> Jacobina</t>
  </si>
  <si>
    <t xml:space="preserve"> Jaguariuna</t>
  </si>
  <si>
    <t xml:space="preserve"> Jandira</t>
  </si>
  <si>
    <t xml:space="preserve"> Jarinu</t>
  </si>
  <si>
    <t xml:space="preserve"> Jequie</t>
  </si>
  <si>
    <t xml:space="preserve"> Ji-Parana</t>
  </si>
  <si>
    <t xml:space="preserve"> Joacaba</t>
  </si>
  <si>
    <t xml:space="preserve"> Joao Pessoa</t>
  </si>
  <si>
    <t xml:space="preserve"> Joinville</t>
  </si>
  <si>
    <t xml:space="preserve"> Juazeiro</t>
  </si>
  <si>
    <t xml:space="preserve"> Juiz de Fora</t>
  </si>
  <si>
    <t xml:space="preserve"> Jundiai</t>
  </si>
  <si>
    <t xml:space="preserve"> Juquitiba</t>
  </si>
  <si>
    <t xml:space="preserve"> Lages</t>
  </si>
  <si>
    <t xml:space="preserve"> Lauro de Freitas</t>
  </si>
  <si>
    <t xml:space="preserve"> Lavras</t>
  </si>
  <si>
    <t xml:space="preserve"> Lencois Paulista</t>
  </si>
  <si>
    <t xml:space="preserve"> Limeira</t>
  </si>
  <si>
    <t xml:space="preserve"> Linhares</t>
  </si>
  <si>
    <t xml:space="preserve"> Londrina</t>
  </si>
  <si>
    <t xml:space="preserve"> Lorena</t>
  </si>
  <si>
    <t xml:space="preserve"> Louveira</t>
  </si>
  <si>
    <t xml:space="preserve"> Macae</t>
  </si>
  <si>
    <t xml:space="preserve"> Macapa</t>
  </si>
  <si>
    <t xml:space="preserve"> Maceio</t>
  </si>
  <si>
    <t xml:space="preserve"> Mairinque</t>
  </si>
  <si>
    <t xml:space="preserve"> Manaus</t>
  </si>
  <si>
    <t xml:space="preserve"> Manhuacu</t>
  </si>
  <si>
    <t xml:space="preserve"> Maraba</t>
  </si>
  <si>
    <t xml:space="preserve"> Maracanau</t>
  </si>
  <si>
    <t xml:space="preserve"> Mariana</t>
  </si>
  <si>
    <t xml:space="preserve"> Maringa</t>
  </si>
  <si>
    <t xml:space="preserve"> Marituba</t>
  </si>
  <si>
    <t xml:space="preserve"> Maua</t>
  </si>
  <si>
    <t xml:space="preserve"> Miguel Pereira</t>
  </si>
  <si>
    <t xml:space="preserve"> Mogi das Cruzes</t>
  </si>
  <si>
    <t xml:space="preserve"> Mogi Guacu</t>
  </si>
  <si>
    <t xml:space="preserve"> Mogi Mirim</t>
  </si>
  <si>
    <t xml:space="preserve"> Moju</t>
  </si>
  <si>
    <t xml:space="preserve"> Monte Alto</t>
  </si>
  <si>
    <t xml:space="preserve"> Monte Mor</t>
  </si>
  <si>
    <t xml:space="preserve"> Montenegro</t>
  </si>
  <si>
    <t xml:space="preserve"> Montes Claros</t>
  </si>
  <si>
    <t xml:space="preserve"> Mossoro</t>
  </si>
  <si>
    <t xml:space="preserve"> Natal</t>
  </si>
  <si>
    <t xml:space="preserve"> Nazare Paulista</t>
  </si>
  <si>
    <t xml:space="preserve"> Niteroi</t>
  </si>
  <si>
    <t xml:space="preserve"> Nova Bassano</t>
  </si>
  <si>
    <t xml:space="preserve"> Nova Iguacu</t>
  </si>
  <si>
    <t xml:space="preserve"> Nova Lima</t>
  </si>
  <si>
    <t xml:space="preserve"> Nova Odessa</t>
  </si>
  <si>
    <t xml:space="preserve"> Nova Prata</t>
  </si>
  <si>
    <t xml:space="preserve"> Olinda</t>
  </si>
  <si>
    <t xml:space="preserve"> Orlandia</t>
  </si>
  <si>
    <t xml:space="preserve"> Osasco</t>
  </si>
  <si>
    <t xml:space="preserve"> Ourinhos</t>
  </si>
  <si>
    <t xml:space="preserve"> Ouro Preto</t>
  </si>
  <si>
    <t xml:space="preserve"> Palhoca</t>
  </si>
  <si>
    <t xml:space="preserve"> Palmas TO</t>
  </si>
  <si>
    <t xml:space="preserve"> Panambi</t>
  </si>
  <si>
    <t xml:space="preserve"> Paragominas</t>
  </si>
  <si>
    <t xml:space="preserve"> Paranagua</t>
  </si>
  <si>
    <t xml:space="preserve"> Parauapebas</t>
  </si>
  <si>
    <t xml:space="preserve"> Parazinho</t>
  </si>
  <si>
    <t xml:space="preserve"> Parnamirim RN</t>
  </si>
  <si>
    <t xml:space="preserve"> Passo Fundo</t>
  </si>
  <si>
    <t xml:space="preserve"> Passos</t>
  </si>
  <si>
    <t xml:space="preserve"> Patos</t>
  </si>
  <si>
    <t xml:space="preserve"> Paulinia</t>
  </si>
  <si>
    <t xml:space="preserve"> Paulista</t>
  </si>
  <si>
    <t xml:space="preserve"> Paulo Afonso</t>
  </si>
  <si>
    <t xml:space="preserve"> Pelotas</t>
  </si>
  <si>
    <t xml:space="preserve"> Petrolina</t>
  </si>
  <si>
    <t xml:space="preserve"> Petropolis</t>
  </si>
  <si>
    <t xml:space="preserve"> Piedade</t>
  </si>
  <si>
    <t xml:space="preserve"> Pindamonhangaba</t>
  </si>
  <si>
    <t xml:space="preserve"> Pinhais</t>
  </si>
  <si>
    <t xml:space="preserve"> Piracicaba</t>
  </si>
  <si>
    <t xml:space="preserve"> Poa</t>
  </si>
  <si>
    <t xml:space="preserve"> Pocos de Caldas</t>
  </si>
  <si>
    <t xml:space="preserve"> Ponta Grossa</t>
  </si>
  <si>
    <t xml:space="preserve"> Porto Alegre</t>
  </si>
  <si>
    <t xml:space="preserve"> Porto Feliz</t>
  </si>
  <si>
    <t xml:space="preserve"> Porto Velho</t>
  </si>
  <si>
    <t xml:space="preserve"> Pouso Alegre</t>
  </si>
  <si>
    <t xml:space="preserve"> Praia Grande</t>
  </si>
  <si>
    <t xml:space="preserve"> Presidente Prudente</t>
  </si>
  <si>
    <t xml:space="preserve"> Primavera do Leste</t>
  </si>
  <si>
    <t xml:space="preserve"> Quatro Barras</t>
  </si>
  <si>
    <t xml:space="preserve"> Queimados</t>
  </si>
  <si>
    <t xml:space="preserve"> Recife</t>
  </si>
  <si>
    <t xml:space="preserve"> Redencao PA</t>
  </si>
  <si>
    <t xml:space="preserve"> Registro</t>
  </si>
  <si>
    <t xml:space="preserve"> Resende</t>
  </si>
  <si>
    <t xml:space="preserve"> Ribeirao Pires</t>
  </si>
  <si>
    <t xml:space="preserve"> Ribeirao Preto</t>
  </si>
  <si>
    <t xml:space="preserve"> Rio Bonito</t>
  </si>
  <si>
    <t xml:space="preserve"> Rio Branco</t>
  </si>
  <si>
    <t xml:space="preserve"> Rio Claro SP</t>
  </si>
  <si>
    <t xml:space="preserve"> Rio De Janeiro</t>
  </si>
  <si>
    <t xml:space="preserve"> Rio Grande</t>
  </si>
  <si>
    <t xml:space="preserve"> Rio Verde</t>
  </si>
  <si>
    <t xml:space="preserve"> Rondonopolis</t>
  </si>
  <si>
    <t xml:space="preserve"> Sabara</t>
  </si>
  <si>
    <t xml:space="preserve"> Salgueiro</t>
  </si>
  <si>
    <t xml:space="preserve"> Salto</t>
  </si>
  <si>
    <t xml:space="preserve"> Salto de Pirapora</t>
  </si>
  <si>
    <t xml:space="preserve"> Salvador</t>
  </si>
  <si>
    <t xml:space="preserve"> Santa Barbara dOeste</t>
  </si>
  <si>
    <t xml:space="preserve"> Santa Cruz do Sul</t>
  </si>
  <si>
    <t xml:space="preserve"> Santa Isabel SP</t>
  </si>
  <si>
    <t xml:space="preserve"> Santa Luzia MG</t>
  </si>
  <si>
    <t xml:space="preserve"> Santa Maria RS</t>
  </si>
  <si>
    <t xml:space="preserve"> Santa Rosa</t>
  </si>
  <si>
    <t xml:space="preserve"> Santana de Parnaiba</t>
  </si>
  <si>
    <t xml:space="preserve"> Santana do Livramento</t>
  </si>
  <si>
    <t xml:space="preserve"> Santarem</t>
  </si>
  <si>
    <t xml:space="preserve"> Santo Andre</t>
  </si>
  <si>
    <t xml:space="preserve"> Santo angelo</t>
  </si>
  <si>
    <t xml:space="preserve"> Santo Antonio de Posse</t>
  </si>
  <si>
    <t xml:space="preserve"> Santos</t>
  </si>
  <si>
    <t xml:space="preserve"> Sao Bernardo do Campo</t>
  </si>
  <si>
    <t xml:space="preserve"> Sao Caetano do Sul</t>
  </si>
  <si>
    <t xml:space="preserve"> Sao Carlos</t>
  </si>
  <si>
    <t xml:space="preserve"> Sao Francisco do Conde</t>
  </si>
  <si>
    <t xml:space="preserve"> Sao Goncalo</t>
  </si>
  <si>
    <t xml:space="preserve"> Sao Joao da Boa Vista</t>
  </si>
  <si>
    <t xml:space="preserve"> Sao Joao del Rei</t>
  </si>
  <si>
    <t xml:space="preserve"> Sao Jose</t>
  </si>
  <si>
    <t xml:space="preserve"> Sao Jose do Rio Preto</t>
  </si>
  <si>
    <t xml:space="preserve"> Sao Jose dos Campos</t>
  </si>
  <si>
    <t xml:space="preserve"> Sao Jose dos Pinhais</t>
  </si>
  <si>
    <t xml:space="preserve"> Sao Leopoldo</t>
  </si>
  <si>
    <t xml:space="preserve"> Sao Luis</t>
  </si>
  <si>
    <t xml:space="preserve"> Sao Manuel</t>
  </si>
  <si>
    <t xml:space="preserve"> Sao Paulo</t>
  </si>
  <si>
    <t xml:space="preserve"> Sao Roque</t>
  </si>
  <si>
    <t xml:space="preserve"> Sao Sebastiao do Passe</t>
  </si>
  <si>
    <t xml:space="preserve"> Saquarema</t>
  </si>
  <si>
    <t xml:space="preserve"> Sarzedo</t>
  </si>
  <si>
    <t xml:space="preserve"> Seropedica</t>
  </si>
  <si>
    <t xml:space="preserve"> Serra</t>
  </si>
  <si>
    <t xml:space="preserve"> Sete Lagoas</t>
  </si>
  <si>
    <t xml:space="preserve"> Simoes Filho</t>
  </si>
  <si>
    <t xml:space="preserve"> Sorocaba</t>
  </si>
  <si>
    <t xml:space="preserve"> Sumare</t>
  </si>
  <si>
    <t xml:space="preserve"> Suzano</t>
  </si>
  <si>
    <t xml:space="preserve"> Taboao Da Serra</t>
  </si>
  <si>
    <t xml:space="preserve"> Taquaritinga</t>
  </si>
  <si>
    <t xml:space="preserve"> Taubate</t>
  </si>
  <si>
    <t xml:space="preserve"> Teofilo Otoni</t>
  </si>
  <si>
    <t xml:space="preserve"> Teresina</t>
  </si>
  <si>
    <t xml:space="preserve"> Tres Marias</t>
  </si>
  <si>
    <t xml:space="preserve"> Tres Rios</t>
  </si>
  <si>
    <t xml:space="preserve"> Tubarao</t>
  </si>
  <si>
    <t xml:space="preserve"> Tucurui</t>
  </si>
  <si>
    <t xml:space="preserve"> Uberaba</t>
  </si>
  <si>
    <t xml:space="preserve"> Uberlandia</t>
  </si>
  <si>
    <t xml:space="preserve"> Uniao dos Palmares</t>
  </si>
  <si>
    <t xml:space="preserve"> Uruguaiana</t>
  </si>
  <si>
    <t xml:space="preserve"> Valinhos</t>
  </si>
  <si>
    <t xml:space="preserve"> Vargem Grande Paulista</t>
  </si>
  <si>
    <t xml:space="preserve"> Varginha</t>
  </si>
  <si>
    <t xml:space="preserve"> Varzea Paulista</t>
  </si>
  <si>
    <t xml:space="preserve"> Vespasiano</t>
  </si>
  <si>
    <t xml:space="preserve"> Vicosa MG</t>
  </si>
  <si>
    <t xml:space="preserve"> Vila Velha</t>
  </si>
  <si>
    <t xml:space="preserve"> Vinhedo</t>
  </si>
  <si>
    <t xml:space="preserve"> Vitoria</t>
  </si>
  <si>
    <t xml:space="preserve"> Vitoria da Conquista</t>
  </si>
  <si>
    <t xml:space="preserve"> Vitoria de Santo Antao</t>
  </si>
  <si>
    <t xml:space="preserve"> Volta Redonda</t>
  </si>
  <si>
    <t>Consultor</t>
  </si>
  <si>
    <t>Qte.</t>
  </si>
  <si>
    <t>Min. p/NCM</t>
  </si>
  <si>
    <t>Min.</t>
  </si>
  <si>
    <t>Total min.</t>
  </si>
  <si>
    <t>Qte. UF</t>
  </si>
  <si>
    <t>Qte. NCM por UF</t>
  </si>
  <si>
    <t>Total NCM</t>
  </si>
  <si>
    <t>Minutos</t>
  </si>
  <si>
    <t>Horas</t>
  </si>
  <si>
    <t>Dias</t>
  </si>
  <si>
    <t>Meses</t>
  </si>
  <si>
    <t>Sênior</t>
  </si>
  <si>
    <t>Júnior</t>
  </si>
  <si>
    <t>Média</t>
  </si>
  <si>
    <t>Salário médio c/ encargos</t>
  </si>
  <si>
    <t>Total mês</t>
  </si>
  <si>
    <t>Custo total</t>
  </si>
  <si>
    <t>Consutor Sênior</t>
  </si>
  <si>
    <t>Consutor Júnior</t>
  </si>
  <si>
    <t xml:space="preserve">In this stage, we review the NCMs that the prospect provide and determining if they are grouped together in certain areas of the TIPI.  For example, if a company provides 200 NCMs but they are primarily all in one chapter of the TIPI then based on our research we have found that the incentives will be in Conventions, Protocols and Legislations that are close together. </t>
  </si>
  <si>
    <t xml:space="preserve">This stage addresses the treatments for the products in each of the 27 states.  </t>
  </si>
  <si>
    <t xml:space="preserve">This stage addresses getting the rules into Determination and a strategy for management. </t>
  </si>
  <si>
    <t>This is the total time for the peer review, senior review and manager review for all of the states in the project.</t>
  </si>
  <si>
    <t>OLEOQUIMICA INDUSTRIA E COMERCIO DE PRODUTOS QUIMICOS LTDA</t>
  </si>
  <si>
    <t>OXITENO SA INDUSTRIA E COMERCIO</t>
  </si>
  <si>
    <t>Filial</t>
  </si>
  <si>
    <t>Matriz</t>
  </si>
  <si>
    <t>07.080.388/0001-27</t>
  </si>
  <si>
    <t>62.545.686/0001-53</t>
  </si>
  <si>
    <t>62.545.686/0002-34</t>
  </si>
  <si>
    <t>62.545.686/0011-25</t>
  </si>
  <si>
    <t>62.545.686/0012-06</t>
  </si>
  <si>
    <t>62.545.686/0013-97</t>
  </si>
  <si>
    <t>62.545.686/0017-10</t>
  </si>
  <si>
    <t>62.545.686/0018-00</t>
  </si>
  <si>
    <t>62.545.686/0019-82</t>
  </si>
  <si>
    <t>BA</t>
  </si>
  <si>
    <t>SP</t>
  </si>
  <si>
    <t>RS</t>
  </si>
  <si>
    <t>62.545.686/0020-16</t>
  </si>
  <si>
    <t>CAMAÇARI</t>
  </si>
  <si>
    <t>TRIUNFO</t>
  </si>
  <si>
    <t>SÃO PAULO</t>
  </si>
  <si>
    <t>MAUÁ</t>
  </si>
  <si>
    <t>TREMEMBÉ</t>
  </si>
  <si>
    <t>SUZANO</t>
  </si>
  <si>
    <t>GUARULHOS</t>
  </si>
  <si>
    <t>Ativa</t>
  </si>
  <si>
    <t>20.29-1-00</t>
  </si>
  <si>
    <t>20.29-1-00 </t>
  </si>
  <si>
    <t>46.84-2-99 </t>
  </si>
  <si>
    <t>Sim</t>
  </si>
  <si>
    <t>Não</t>
  </si>
  <si>
    <t>Lucro Real</t>
  </si>
  <si>
    <t>17.01</t>
  </si>
  <si>
    <t>Nota Fiscal de Energia Elétrica Eletrônica (NF3E) Modelo 65</t>
  </si>
  <si>
    <t>CONTA MENSAL DE SERVIÇOS DE AGUA E/OU ESGOTO - CMSAE</t>
  </si>
  <si>
    <t>Nota Fiscal Conta de Energia Elétrica, modelo 6 (NFCEE)</t>
  </si>
  <si>
    <t>SANTO ANDRE</t>
  </si>
  <si>
    <t>ARUJA</t>
  </si>
  <si>
    <t>POA</t>
  </si>
  <si>
    <t>SAO CARLOS</t>
  </si>
  <si>
    <t>PAULINIA</t>
  </si>
  <si>
    <t>ARACAJU</t>
  </si>
  <si>
    <t>CANOAS</t>
  </si>
  <si>
    <t>PORTO ALEGRE</t>
  </si>
  <si>
    <t>JAGUARIUNA</t>
  </si>
  <si>
    <t>MAUA</t>
  </si>
  <si>
    <t>CAMACARI</t>
  </si>
  <si>
    <t>SAO CAETANO DO SUL</t>
  </si>
  <si>
    <t>SIMOES FILHO</t>
  </si>
  <si>
    <t>VARGEM GRANDE PAULISTA</t>
  </si>
  <si>
    <t>CUBATAO</t>
  </si>
  <si>
    <t>MOGI DAS CRUZES</t>
  </si>
  <si>
    <t>JUNDIAI</t>
  </si>
  <si>
    <t>SAO BERNARDO DO CAMPO</t>
  </si>
  <si>
    <t>SALVADOR</t>
  </si>
  <si>
    <t>SAPUCAIA DO SUL</t>
  </si>
  <si>
    <t>NOVA SANTA RITA</t>
  </si>
  <si>
    <t>BARUERI</t>
  </si>
  <si>
    <t>BLUMENAU</t>
  </si>
  <si>
    <t>SAO JOSE DOS CAMPOS</t>
  </si>
  <si>
    <t>SAO PAULO</t>
  </si>
  <si>
    <t>JANDIRA</t>
  </si>
  <si>
    <t>SANTOS</t>
  </si>
  <si>
    <t>BRASILIA</t>
  </si>
  <si>
    <t>RIO CLARO</t>
  </si>
  <si>
    <t>SAO LEOPOLDO</t>
  </si>
  <si>
    <t>CAMPINAS</t>
  </si>
  <si>
    <t>VIDEIRA</t>
  </si>
  <si>
    <t>CAMPO LIMPO PAULISTA</t>
  </si>
  <si>
    <t>ESTEIO</t>
  </si>
  <si>
    <t>RIBEIRAO PIRES</t>
  </si>
  <si>
    <t>LAURO DE FREITAS</t>
  </si>
  <si>
    <t>INDAIATUBA</t>
  </si>
  <si>
    <t>CURITIBA</t>
  </si>
  <si>
    <t>ESTRELA</t>
  </si>
  <si>
    <t>SAO JOSE DO RIO PARDO</t>
  </si>
  <si>
    <t>TREMEMBE</t>
  </si>
  <si>
    <t>RIO GRANDE</t>
  </si>
  <si>
    <t>JABOTICABAL</t>
  </si>
  <si>
    <t>COTIA</t>
  </si>
  <si>
    <t>VALINHOS</t>
  </si>
  <si>
    <t>NOVO HAMBURGO</t>
  </si>
  <si>
    <t>GUARUJA</t>
  </si>
  <si>
    <t>PIRACICABA</t>
  </si>
  <si>
    <t>ITAJAI</t>
  </si>
  <si>
    <t>DIADEMA</t>
  </si>
  <si>
    <t>TAUBATE</t>
  </si>
  <si>
    <t>JEQUIE</t>
  </si>
  <si>
    <t>SANTANA DE PARNAIBA</t>
  </si>
  <si>
    <t>ANAPOLIS</t>
  </si>
  <si>
    <t>ITU</t>
  </si>
  <si>
    <t>ELDORADO DO SUL</t>
  </si>
  <si>
    <t>TABOAO DA SERRA</t>
  </si>
  <si>
    <t>SANTA MARIA</t>
  </si>
  <si>
    <t>CANDEIAS</t>
  </si>
  <si>
    <t>ITAJUBA</t>
  </si>
  <si>
    <t>PARANAGUA</t>
  </si>
  <si>
    <t>FARROUPILHA</t>
  </si>
  <si>
    <t>RIO DE JANEIRO</t>
  </si>
  <si>
    <t>HORTOLANDIA</t>
  </si>
  <si>
    <t>CRUZEIRO DO SUL</t>
  </si>
  <si>
    <t>FEIRA DE SANTANA</t>
  </si>
  <si>
    <t>PINDAMONHANGABA</t>
  </si>
  <si>
    <t>CAXIAS DO SUL</t>
  </si>
  <si>
    <t>PRAIA GRANDE</t>
  </si>
  <si>
    <t>ARARAQUARA</t>
  </si>
  <si>
    <t>PIEDADE</t>
  </si>
  <si>
    <t>OSASCO</t>
  </si>
  <si>
    <t>GRAVATAI</t>
  </si>
  <si>
    <t>MONTENEGRO</t>
  </si>
  <si>
    <t>FLORIANOPOLIS</t>
  </si>
  <si>
    <t>JAGUARAO</t>
  </si>
  <si>
    <t>BOTUCATU</t>
  </si>
  <si>
    <t>RIBEIRAO PRETO</t>
  </si>
  <si>
    <t>GOIANIA</t>
  </si>
  <si>
    <t>ROSEIRA</t>
  </si>
  <si>
    <t>SOROCABA</t>
  </si>
  <si>
    <t>SUMARE</t>
  </si>
  <si>
    <t>VITORIA</t>
  </si>
  <si>
    <t>JOINVILLE</t>
  </si>
  <si>
    <t>BELO HORIZONTE</t>
  </si>
  <si>
    <t>DIAS D'AVILA</t>
  </si>
  <si>
    <t>AGUAI</t>
  </si>
  <si>
    <t>VINHEDO</t>
  </si>
  <si>
    <t>GUAIBA</t>
  </si>
  <si>
    <t>SERRA</t>
  </si>
  <si>
    <t>NITEROI</t>
  </si>
  <si>
    <t>NATAL</t>
  </si>
  <si>
    <t>ARACARIGUAMA</t>
  </si>
  <si>
    <t>APARECIDA DE GOIANIA</t>
  </si>
  <si>
    <t>ITUPEVA</t>
  </si>
  <si>
    <t>LONDRINA</t>
  </si>
  <si>
    <t>VARGINHA</t>
  </si>
  <si>
    <t>SAO JOSE</t>
  </si>
  <si>
    <t>CAJAMAR</t>
  </si>
  <si>
    <t>ITAPEVI</t>
  </si>
  <si>
    <t>JACAREI</t>
  </si>
  <si>
    <t>CAIEIRAS</t>
  </si>
  <si>
    <t>CAMPO BOM</t>
  </si>
  <si>
    <t>UBERABA</t>
  </si>
  <si>
    <t>LIMEIRA</t>
  </si>
  <si>
    <t>ITAQUAQUECETUBA</t>
  </si>
  <si>
    <t>CACHOEIRINHA</t>
  </si>
  <si>
    <t>JATAI</t>
  </si>
  <si>
    <t>PORTAO</t>
  </si>
  <si>
    <t>MACEIO</t>
  </si>
  <si>
    <t>JARAGUA DO SUL</t>
  </si>
  <si>
    <t>JARINU</t>
  </si>
  <si>
    <t>MOGI MIRIM</t>
  </si>
  <si>
    <t>CHUI</t>
  </si>
  <si>
    <t>ATIBAIA</t>
  </si>
  <si>
    <t>GLORINHA</t>
  </si>
  <si>
    <t>PONTA GROSSA</t>
  </si>
  <si>
    <t>JUIZ DE FORA</t>
  </si>
  <si>
    <t>IRECE</t>
  </si>
  <si>
    <t>GUARAREMA</t>
  </si>
  <si>
    <t>MONTES CLAROS</t>
  </si>
  <si>
    <t>CAMPO LARGO</t>
  </si>
  <si>
    <t>ITATIBA</t>
  </si>
  <si>
    <t>SAO JOSE DO RIO PRETO</t>
  </si>
  <si>
    <t>EXTREMA</t>
  </si>
  <si>
    <t>7.01</t>
  </si>
  <si>
    <t>20.01</t>
  </si>
  <si>
    <t>14.13</t>
  </si>
  <si>
    <t>14.11</t>
  </si>
  <si>
    <t>1.03</t>
  </si>
  <si>
    <t>14.06</t>
  </si>
  <si>
    <t>10.09</t>
  </si>
  <si>
    <t>17.13</t>
  </si>
  <si>
    <t>13.05</t>
  </si>
  <si>
    <t>26.01</t>
  </si>
  <si>
    <t>11.02</t>
  </si>
  <si>
    <t>4.06</t>
  </si>
  <si>
    <t>8.01</t>
  </si>
  <si>
    <t>24.01</t>
  </si>
  <si>
    <t>17.08</t>
  </si>
  <si>
    <t>8.02</t>
  </si>
  <si>
    <t>17.04</t>
  </si>
  <si>
    <t>7.05</t>
  </si>
  <si>
    <t>33.01</t>
  </si>
  <si>
    <t>14.02</t>
  </si>
  <si>
    <t>17.02</t>
  </si>
  <si>
    <t>32.01</t>
  </si>
  <si>
    <t>17.24</t>
  </si>
  <si>
    <t>16.01</t>
  </si>
  <si>
    <t>1.02</t>
  </si>
  <si>
    <t>7.11</t>
  </si>
  <si>
    <t>9.01</t>
  </si>
  <si>
    <t>31.01</t>
  </si>
  <si>
    <t>17.17</t>
  </si>
  <si>
    <t>1.05</t>
  </si>
  <si>
    <t>4.21</t>
  </si>
  <si>
    <t>27.01</t>
  </si>
  <si>
    <t>20.02</t>
  </si>
  <si>
    <t>10.08</t>
  </si>
  <si>
    <t>16.02</t>
  </si>
  <si>
    <t>25.01</t>
  </si>
  <si>
    <t>12.12</t>
  </si>
  <si>
    <t>17.16</t>
  </si>
  <si>
    <t>13.03</t>
  </si>
  <si>
    <t>7.06</t>
  </si>
  <si>
    <t>28.01</t>
  </si>
  <si>
    <t>13.04</t>
  </si>
  <si>
    <t>4.01</t>
  </si>
  <si>
    <t>14.05</t>
  </si>
  <si>
    <t>10.01</t>
  </si>
  <si>
    <t>7.19</t>
  </si>
  <si>
    <t>3.02</t>
  </si>
  <si>
    <t>15.17</t>
  </si>
  <si>
    <t>7.12</t>
  </si>
  <si>
    <t>7.13</t>
  </si>
  <si>
    <t>17.23</t>
  </si>
  <si>
    <t>40.01</t>
  </si>
  <si>
    <t>1.07</t>
  </si>
  <si>
    <t>14.01</t>
  </si>
  <si>
    <t>4.12</t>
  </si>
  <si>
    <t>7.18</t>
  </si>
  <si>
    <t>12.13</t>
  </si>
  <si>
    <t>17.09</t>
  </si>
  <si>
    <t>17.03</t>
  </si>
  <si>
    <t>15.03</t>
  </si>
  <si>
    <t>12.08</t>
  </si>
  <si>
    <t>3.05</t>
  </si>
  <si>
    <t>10.05</t>
  </si>
  <si>
    <t>10.03</t>
  </si>
  <si>
    <t>7.03</t>
  </si>
  <si>
    <t>7.09</t>
  </si>
  <si>
    <t>12.01</t>
  </si>
  <si>
    <t>17.06</t>
  </si>
  <si>
    <t>11.01</t>
  </si>
  <si>
    <t>17.21</t>
  </si>
  <si>
    <t>7.17</t>
  </si>
  <si>
    <t>1.06</t>
  </si>
  <si>
    <t>12.05</t>
  </si>
  <si>
    <t>17.14</t>
  </si>
  <si>
    <t>4.02</t>
  </si>
  <si>
    <t>10.02</t>
  </si>
  <si>
    <t>9.02</t>
  </si>
  <si>
    <t>17.19</t>
  </si>
  <si>
    <t>10.06</t>
  </si>
  <si>
    <t>17.05</t>
  </si>
  <si>
    <t>12.17</t>
  </si>
  <si>
    <t>4.09</t>
  </si>
  <si>
    <t>23.01</t>
  </si>
  <si>
    <t>17.12</t>
  </si>
  <si>
    <t>13.01</t>
  </si>
  <si>
    <t>3.04</t>
  </si>
  <si>
    <t>1.09</t>
  </si>
  <si>
    <t>15.01</t>
  </si>
  <si>
    <t>17.15</t>
  </si>
  <si>
    <t>17.18</t>
  </si>
  <si>
    <t>11.04</t>
  </si>
  <si>
    <t>30.01</t>
  </si>
  <si>
    <t>17.11</t>
  </si>
  <si>
    <t>13.02</t>
  </si>
  <si>
    <t>1.01</t>
  </si>
  <si>
    <t>14.01.3</t>
  </si>
  <si>
    <t>4.03</t>
  </si>
  <si>
    <t>35.01</t>
  </si>
  <si>
    <t>14.14</t>
  </si>
  <si>
    <t>4.08</t>
  </si>
  <si>
    <t>14.01.14</t>
  </si>
  <si>
    <t>2.01</t>
  </si>
  <si>
    <t>1.04</t>
  </si>
  <si>
    <t>3.03</t>
  </si>
  <si>
    <t>4.23</t>
  </si>
  <si>
    <t>7.02</t>
  </si>
  <si>
    <t>11.05</t>
  </si>
  <si>
    <t>14.01.2</t>
  </si>
  <si>
    <t>14.01.13</t>
  </si>
  <si>
    <t>16.01.04</t>
  </si>
  <si>
    <t>SC</t>
  </si>
  <si>
    <t>DF</t>
  </si>
  <si>
    <t>PR</t>
  </si>
  <si>
    <t>RJ</t>
  </si>
  <si>
    <t>MG</t>
  </si>
  <si>
    <t>GO</t>
  </si>
  <si>
    <t>1.101</t>
  </si>
  <si>
    <t>1.102</t>
  </si>
  <si>
    <t>1.116</t>
  </si>
  <si>
    <t>1.117</t>
  </si>
  <si>
    <t>1.122</t>
  </si>
  <si>
    <t>1.124</t>
  </si>
  <si>
    <t>1.151</t>
  </si>
  <si>
    <t>1.152</t>
  </si>
  <si>
    <t>1.201</t>
  </si>
  <si>
    <t>1.202</t>
  </si>
  <si>
    <t>1.252</t>
  </si>
  <si>
    <t>1.302</t>
  </si>
  <si>
    <t>1.352</t>
  </si>
  <si>
    <t>1.360</t>
  </si>
  <si>
    <t>1.401</t>
  </si>
  <si>
    <t>1.406</t>
  </si>
  <si>
    <t>1.407</t>
  </si>
  <si>
    <t>1.551</t>
  </si>
  <si>
    <t>1.552</t>
  </si>
  <si>
    <t>1.554</t>
  </si>
  <si>
    <t>1.556</t>
  </si>
  <si>
    <t>1.557</t>
  </si>
  <si>
    <t>1.601</t>
  </si>
  <si>
    <t>1.602</t>
  </si>
  <si>
    <t>1.604</t>
  </si>
  <si>
    <t>1.605</t>
  </si>
  <si>
    <t>1.901</t>
  </si>
  <si>
    <t>1.902</t>
  </si>
  <si>
    <t>1.903</t>
  </si>
  <si>
    <t>1.906</t>
  </si>
  <si>
    <t>1.907</t>
  </si>
  <si>
    <t>1.908</t>
  </si>
  <si>
    <t>1.910</t>
  </si>
  <si>
    <t>1.911</t>
  </si>
  <si>
    <t>1.912</t>
  </si>
  <si>
    <t>1.916</t>
  </si>
  <si>
    <t>1.918</t>
  </si>
  <si>
    <t>1.919</t>
  </si>
  <si>
    <t>1.920</t>
  </si>
  <si>
    <t>1.921</t>
  </si>
  <si>
    <t>1.922</t>
  </si>
  <si>
    <t>1.923</t>
  </si>
  <si>
    <t>1.924</t>
  </si>
  <si>
    <t>1.925</t>
  </si>
  <si>
    <t>1.949</t>
  </si>
  <si>
    <t>2.101</t>
  </si>
  <si>
    <t>2.102</t>
  </si>
  <si>
    <t>2.122</t>
  </si>
  <si>
    <t>2.124</t>
  </si>
  <si>
    <t>2.151</t>
  </si>
  <si>
    <t>2.152</t>
  </si>
  <si>
    <t>2.201</t>
  </si>
  <si>
    <t>2.202</t>
  </si>
  <si>
    <t>2.252</t>
  </si>
  <si>
    <t>2.302</t>
  </si>
  <si>
    <t>2.352</t>
  </si>
  <si>
    <t>2.406</t>
  </si>
  <si>
    <t>2.407</t>
  </si>
  <si>
    <t>2.551</t>
  </si>
  <si>
    <t>2.552</t>
  </si>
  <si>
    <t>2.554</t>
  </si>
  <si>
    <t>2.556</t>
  </si>
  <si>
    <t>2.557</t>
  </si>
  <si>
    <t>2.902</t>
  </si>
  <si>
    <t>2.907</t>
  </si>
  <si>
    <t>2.908</t>
  </si>
  <si>
    <t>2.909</t>
  </si>
  <si>
    <t>2.910</t>
  </si>
  <si>
    <t>2.911</t>
  </si>
  <si>
    <t>2.912</t>
  </si>
  <si>
    <t>2.916</t>
  </si>
  <si>
    <t>2.919</t>
  </si>
  <si>
    <t>2.920</t>
  </si>
  <si>
    <t>2.921</t>
  </si>
  <si>
    <t>2.922</t>
  </si>
  <si>
    <t>2.923</t>
  </si>
  <si>
    <t>2.932</t>
  </si>
  <si>
    <t>2.949</t>
  </si>
  <si>
    <t>3.101</t>
  </si>
  <si>
    <t>3.102</t>
  </si>
  <si>
    <t>3.127</t>
  </si>
  <si>
    <t>3.201</t>
  </si>
  <si>
    <t>3.551</t>
  </si>
  <si>
    <t>3.556</t>
  </si>
  <si>
    <t>3.949</t>
  </si>
  <si>
    <t>TRANSFERÊNCIA DE PRODUTO PARA DISTRIBUIÇÃO -  AMOSTRA</t>
  </si>
  <si>
    <t>ENTREGA FUTURA</t>
  </si>
  <si>
    <t>ENERGIA ELÉTRICA PARA USO INDUSTRIAL</t>
  </si>
  <si>
    <t>PRESTAÇÃO DE SERVIÇOS</t>
  </si>
  <si>
    <t>FRETE S/ PA/PI/IN - TRIB</t>
  </si>
  <si>
    <t>FRETE SOBRE PA/PI/IN -SUBSTITUICAO TRIBUTARIA</t>
  </si>
  <si>
    <t>FRETE SOBRE PA/PI/IN ISENTO</t>
  </si>
  <si>
    <t>USO OU CONSUMO</t>
  </si>
  <si>
    <t>CONSERTO</t>
  </si>
  <si>
    <t>CMP USO E CONSUMO SUB.TRI</t>
  </si>
  <si>
    <t>ATIVO PERMANENTE SEM DIREITO A CREDITO DE ICMS</t>
  </si>
  <si>
    <t>INDUSTRIALIZAÇÃO MP</t>
  </si>
  <si>
    <t>ATIVO IMOBILIZADO</t>
  </si>
  <si>
    <t>RETORNO ARMAZEM SIMBOLICO</t>
  </si>
  <si>
    <t>ARMAZENAMENTO</t>
  </si>
  <si>
    <t>INDUSTRIALIZAÇÃO</t>
  </si>
  <si>
    <t>COMERCIALIZAÇÃO</t>
  </si>
  <si>
    <t>CMP ATIVO IMOB SUB.TRIB.SEM CREDITO CIAP</t>
  </si>
  <si>
    <t>DEMONSTRAÇÃO</t>
  </si>
  <si>
    <t>DEVOLUCAO DE REVENDA DE PRODUTO ACABADO</t>
  </si>
  <si>
    <t>MATERIAL PARA USO CONSUMO</t>
  </si>
  <si>
    <t>ENTRADA DE MERCADORIA RECEBIDA DO VENDEDOR REMETENTE EM VENDA A ORDEM</t>
  </si>
  <si>
    <t>REM FRACIONADA CMP NORMAL/IMP</t>
  </si>
  <si>
    <t>RECUSA DE MERCADORIA NÃO ENTREGUE - VENDA</t>
  </si>
  <si>
    <t>COMODATO</t>
  </si>
  <si>
    <t>INSUMOS C/ BASE REDUZIDA</t>
  </si>
  <si>
    <t>COMPRAS P/ INDUSTRIALIZAÇÃO / SUBST TRIBUTÁRIA</t>
  </si>
  <si>
    <t>REM MATERIAL DE 3º PARA USO INTERNO</t>
  </si>
  <si>
    <t>FRETE SOBRE MR/AD ISENTO</t>
  </si>
  <si>
    <t>FRETE SOBRE MR/AD - TRIBUTADO</t>
  </si>
  <si>
    <t>CMP ENERGIA ELETRICA</t>
  </si>
  <si>
    <t>INDUSTRIALIZAÇÃO INTERCIA MP</t>
  </si>
  <si>
    <t>AMOSTRA GRÁTIS</t>
  </si>
  <si>
    <t>TRANSPORTE  DE PESSOAL</t>
  </si>
  <si>
    <t>COMERCIALIZAÇÃO INTERCIA</t>
  </si>
  <si>
    <t>FRETE MUNICIPAL</t>
  </si>
  <si>
    <t>LOCAÇÃO</t>
  </si>
  <si>
    <t>COMPLEMENTO DE PRECO SERVICO INDUSTRIALIZACAO</t>
  </si>
  <si>
    <t>CONSIGNAÇÃO INDUSTRIAL - SIMBÓLICO</t>
  </si>
  <si>
    <t>FRETE SOBRE MR/AD SUBSTITUICAO TRIBUTARIA</t>
  </si>
  <si>
    <t>NF DE FRETE SUBST TRIBUTARIA - SERVIÇOS TRANSPORTES TOMADOS - BA</t>
  </si>
  <si>
    <t>TESTE</t>
  </si>
  <si>
    <t>DE PRODUÇÃO DO ESTABELECIMENTO ENVIADA PARA O EXTERIOR</t>
  </si>
  <si>
    <t>TANCAGEM</t>
  </si>
  <si>
    <t>RECEBIMENTO POR TRANSFERENCIA DE SALDO DEVEDOR DO ICMS</t>
  </si>
  <si>
    <t>RECEBIMENTO POR TRANSFERENCIA DE SALDO CREDOR DO ICMS CFOP</t>
  </si>
  <si>
    <t>INDUSTRIALIZAÇÃO POR TERCEIROS</t>
  </si>
  <si>
    <t>RETORNO INDUSTRIALIZAÇÃO SIMBÓLICO</t>
  </si>
  <si>
    <t>DE PRODUÇÃO DO ESTABELECIMENTO - COLUNA TRIBUTADO</t>
  </si>
  <si>
    <t>RETORNO SEM INDUSTRIALIZAÇÃO</t>
  </si>
  <si>
    <t>CMP INSUMOS ICMS DIFERIDO</t>
  </si>
  <si>
    <t>FRETE SOBRE PA/PI/IN ST (1.360)</t>
  </si>
  <si>
    <t>REM ACONDICIONAMENTO SEM MOVIMENTO ESTOQUE</t>
  </si>
  <si>
    <t>TESTE INDL</t>
  </si>
  <si>
    <t>CMP AMOSTRA DISTRIBUICAO</t>
  </si>
  <si>
    <t>ACONDICIONAMENTO</t>
  </si>
  <si>
    <t>ENERGIA ELÉTRICA PARA USO INDUSTRIAL - MERCADO LIVRE - BA</t>
  </si>
  <si>
    <t>COMPRA P/ INDUSTR MERC REMETIDA AO INDUSTRIALIZADOR PELO FORNECEDOR SEM TRANSITAR  ESTABELECIMENTO ADQUIRENTE</t>
  </si>
  <si>
    <t>TROCA PRODUTOS</t>
  </si>
  <si>
    <t>TELECOMUNICAÇÕES</t>
  </si>
  <si>
    <t>RECUSA DE MERCADORIA NÃO ENTREGUE - REVENDA</t>
  </si>
  <si>
    <t>ATIVO PERMANENTE</t>
  </si>
  <si>
    <t>NF. ENTRADA CREDITO ICMS ATIVO - CFE CAT 41</t>
  </si>
  <si>
    <t>DEPOSITO</t>
  </si>
  <si>
    <t>DE MERCADORIA ADQUIRIDA OU RECEBIDA DE TERCEIROS - INSUMOS - COLUNA TRIBUTADO</t>
  </si>
  <si>
    <t>MERCADORIA NÃO ENTREGUE OUTROS</t>
  </si>
  <si>
    <t>COMPLEMENTO ICMS FRETE</t>
  </si>
  <si>
    <t xml:space="preserve">ICMS ATIVO SEM RECUPERAÇÃO DO CRÉDITO DE ICMS </t>
  </si>
  <si>
    <t xml:space="preserve">ICMS MAT. DE USO/CONSUMO </t>
  </si>
  <si>
    <t>BONIFICAÇÃO, DOAÇÃO OU BRINDE</t>
  </si>
  <si>
    <t>REMESSAS FINANCEIRAS</t>
  </si>
  <si>
    <t>Entrada de Crédito de ICMS Ref. Não Aproveitamento</t>
  </si>
  <si>
    <t>COMPRA PARA INDUSTRIALIZAÇÃO SOB REGIME DRAWBACK</t>
  </si>
  <si>
    <t>TROCA PRODUTOS - S/ TRIB</t>
  </si>
  <si>
    <t>ATIVO PERMANENTE C/ BASE REDUZIDA</t>
  </si>
  <si>
    <t>BENEFICIAMENTO ATIVO PERMANENTE</t>
  </si>
  <si>
    <t>MERCADORIA NÃO ENTREGUE PRODUTO</t>
  </si>
  <si>
    <t>RETORNO DE BEM DO ATIVO IMOBILIZADO REMETIDO PARA USO FORA DO ESTABELECIMENTO</t>
  </si>
  <si>
    <t>ICMS - INDUSTRIALIZAÇÃO</t>
  </si>
  <si>
    <t>COMPRA POR ENTREGA FUTURA DE ATIVO IMOBILIZADO</t>
  </si>
  <si>
    <t>CPL ICMS OUTRAS</t>
  </si>
  <si>
    <t>FRETE S/ IN - AQUISICAO DE SERV TRANSP INICIADO EM UF DIFERENTE DO PRESTADOR</t>
  </si>
  <si>
    <t xml:space="preserve">IMPORTAÇÃO P/ REVENDA_x000D_
</t>
  </si>
  <si>
    <t>REMESSA EM GARANTIA</t>
  </si>
  <si>
    <t>COMPLEMENTO ICMS DEVOLUCAO DE VENDA</t>
  </si>
  <si>
    <t>REMESSA POR ENTREGA FUTURA DE ATIVO IMOBILIZADO</t>
  </si>
  <si>
    <t>CMP CRED ICMS</t>
  </si>
  <si>
    <t>COMPRA PARA INDUSTRIALIZAÇÃO SOB REGIME DRAWBACK MERCADO INTERNO</t>
  </si>
  <si>
    <t>CONTA E ORDEM</t>
  </si>
  <si>
    <t>CPL PRECO RET ARM SIMB</t>
  </si>
  <si>
    <t>DE PRODUÇÃO DO ESTABELECIMENTO - CONSIGNAÇÃO MERCANTIL/INDUSTRIAL</t>
  </si>
  <si>
    <t>EMPRÉSTIMO DE MATERIAL DE MANUTENÇÃO</t>
  </si>
  <si>
    <t>DE TROCA TRIBUTADA</t>
  </si>
  <si>
    <t>EMPRÉSTIMO DE INSUMOS  INDL</t>
  </si>
  <si>
    <t>RETORNO DE MERCADORIA IND. CONTA E ORDEM</t>
  </si>
  <si>
    <t>ATIVO PERMANENTE - ISENTO</t>
  </si>
  <si>
    <t>5.101</t>
  </si>
  <si>
    <t>VENDA INTERCIA PRODUÇÃO DO ESTABELECIMENTO</t>
  </si>
  <si>
    <t>VENDA DE PRODUÇÃO DO ESTABELECIMENTO</t>
  </si>
  <si>
    <t>VENDA COM DIFERIMENTO</t>
  </si>
  <si>
    <t>VENDA DE SUB PRODUTO</t>
  </si>
  <si>
    <t>COMPLEMENTO DE PRECO</t>
  </si>
  <si>
    <t>5.102</t>
  </si>
  <si>
    <t>VENDA INTERCIA DE MERCADORIA ADQUIRIDA OU RECEBIDA DE TERCEIROS</t>
  </si>
  <si>
    <t>REVENDA  DE MERCADORIA ADQ/RECEBIDA DE TERCEIROS</t>
  </si>
  <si>
    <t>REVENDA COM DIFERIMENTO</t>
  </si>
  <si>
    <t>REVENDA COM ENTREGA DEPOSITO/ARMAZÉM</t>
  </si>
  <si>
    <t>VENDA DE MERCADORIA ADQUIRIDA OU RECEBIDA DE TERCEIROS</t>
  </si>
  <si>
    <t>REVENDA C/ BASE CALCULO REDUZIDA DE MERCADORIA ADQ 3º</t>
  </si>
  <si>
    <t>REVENDA DRAWBACK INTEGRADO MERCADO INTERNO</t>
  </si>
  <si>
    <t>5.105</t>
  </si>
  <si>
    <t>VENDA DE PRODUÇÃO DO ESTABELECIMENTO, QUE NÃO DEVA TRANSITAR PELO ESTABELECIMENTO DEPOSITANTE</t>
  </si>
  <si>
    <t>VENDA DE PRODUÇÃO DO ESTABELECIMENTO, QUE NÃO DEVE TRANSITAR PELO ESTABELECIMENTO DEPOSITANTE</t>
  </si>
  <si>
    <t>5.106</t>
  </si>
  <si>
    <t>REVENDA DIRETA ARMAZÉM - FILIAL COMERCIAL</t>
  </si>
  <si>
    <t>5.111</t>
  </si>
  <si>
    <t>VENDA DE PRODUÇÃO DO ESTABELECIMENTO, PRODUTO EM CONSIGNAÇÃO INDUSTRIAL</t>
  </si>
  <si>
    <t>5.112</t>
  </si>
  <si>
    <t>REVENDA CONSIGNAÇÃO INDUSTRIAL - FILIAL COMERCIAL</t>
  </si>
  <si>
    <t>5.118</t>
  </si>
  <si>
    <t>VENDA A ORDEM DE PRODUÇÃO DO ESTABELECIMENTO</t>
  </si>
  <si>
    <t>5.119</t>
  </si>
  <si>
    <t>REVENDA A ORDEM - PA</t>
  </si>
  <si>
    <t>5.122</t>
  </si>
  <si>
    <t>VENDA DE PRODUÇÃO DO ESTABELECIMENTO REMETIDA PARA INDUSTR POR CONTA E ORDEM DO ADQUIRENTE</t>
  </si>
  <si>
    <t>5.123</t>
  </si>
  <si>
    <t>REVENDA CTA ORDEM DE MERCADORIA ADQ/RECEBIDA DE 3º</t>
  </si>
  <si>
    <t>VENDA CTA ORDEM DE MERCADORIA ADQ/RECEBIDA DE TERCEIROS - MP</t>
  </si>
  <si>
    <t>5.124</t>
  </si>
  <si>
    <t>INDUSTRIALIZAÇÃO EFETUADA PARA OUTRA EMPRESA</t>
  </si>
  <si>
    <t>5.129</t>
  </si>
  <si>
    <t>VDA INSUMOS MP RECOF</t>
  </si>
  <si>
    <t>5.151</t>
  </si>
  <si>
    <t>TRANSFERENCIA DE PRODUÇÃO PROPRIA</t>
  </si>
  <si>
    <t>5.152</t>
  </si>
  <si>
    <t>TRANSFERÊNCIA DE MERCADORIA ADQUIRIDA E/OU RECEBIDA DE TERCEIROS</t>
  </si>
  <si>
    <t>5.155</t>
  </si>
  <si>
    <t>TRANSFERENCIA DE PRODUÇÃO DO ESTABELECIMENTO, QUE NÃO DEVA TRANSITAR PELO ESTABELECIMENTO DEPOSITANTE</t>
  </si>
  <si>
    <t>5.201</t>
  </si>
  <si>
    <t>DEVOLUÇÃO DE COMPRAS PARA INDUSTRIALIZAÇÃO</t>
  </si>
  <si>
    <t>5.502</t>
  </si>
  <si>
    <t>REVENDA DE PROD. ADQ. TERCEIROS - EQUIPARADA  EXPORTAÇÃO</t>
  </si>
  <si>
    <t>5.551</t>
  </si>
  <si>
    <t>VENDA DE ATIVO PERMANENTE</t>
  </si>
  <si>
    <t>5.552</t>
  </si>
  <si>
    <t>TRANSFERÊNCIA DE ATIVO PERMANENTE</t>
  </si>
  <si>
    <t>5.553</t>
  </si>
  <si>
    <t>DEVOLUÇÃO DE COMPRA PARA O ATIVO PERMANENTE</t>
  </si>
  <si>
    <t>5.556</t>
  </si>
  <si>
    <t>DEVOLUÇÃO DE COMPRA DE MATERIAL PARA USO E CONSUMO</t>
  </si>
  <si>
    <t>5.557</t>
  </si>
  <si>
    <t>TRANSFERENCIA DE MATERIAL PARA USO OU CONSUMO</t>
  </si>
  <si>
    <t>5.601</t>
  </si>
  <si>
    <t>TRANSFERÊNCIA DE CRÉDITO DE ICMS</t>
  </si>
  <si>
    <t>5.602</t>
  </si>
  <si>
    <t>TRANSFERÊNCIA DE SALDO CREDOR</t>
  </si>
  <si>
    <t>5.605</t>
  </si>
  <si>
    <t>TRANSFERÊNCIA DE SALDO DEVEDOR</t>
  </si>
  <si>
    <t>5.901</t>
  </si>
  <si>
    <t>REMESSA PARA INDUSTRIALIZAÇÃO POR ENCOMENDA</t>
  </si>
  <si>
    <t>REMESSA PARA BENEFICIAMENTO USO/CONSUMO</t>
  </si>
  <si>
    <t>5.902</t>
  </si>
  <si>
    <t>RETORNO DE INDUSTRIALIZAÇÃO SIMBOLICO</t>
  </si>
  <si>
    <t>5.905</t>
  </si>
  <si>
    <t>REMESSA PARA ARMAZENAMENTO</t>
  </si>
  <si>
    <t>5.909</t>
  </si>
  <si>
    <t>RETORNO DE LOCAÇÃO</t>
  </si>
  <si>
    <t>RETORNO DE COMODATO S/ IMPOSTO</t>
  </si>
  <si>
    <t>5.910</t>
  </si>
  <si>
    <t>REMESSA EM DOAÇÃO</t>
  </si>
  <si>
    <t>REMESSA EM BONIFICAÇÃO OU BRINDE</t>
  </si>
  <si>
    <t>5.911</t>
  </si>
  <si>
    <t>AMOSTRA GRATIS</t>
  </si>
  <si>
    <t>5.912</t>
  </si>
  <si>
    <t>REMESSA P/ DEMONSTRAÇÃO S/ IMP</t>
  </si>
  <si>
    <t>5.913</t>
  </si>
  <si>
    <t>RETORNO DE DEMONSTRAÇÃO - SUSPENSO</t>
  </si>
  <si>
    <t>5.915</t>
  </si>
  <si>
    <t>REMESSA PARA CONSERTO</t>
  </si>
  <si>
    <t>5.917</t>
  </si>
  <si>
    <t>REMESSA EM CONSIGNAÇÃO INDUSTRIAL</t>
  </si>
  <si>
    <t>REMESSA EM CONSIGNAÇÃO INDL - REVENDA</t>
  </si>
  <si>
    <t>5.920</t>
  </si>
  <si>
    <t>REMESSA PARA ACONDICIONAMENTO</t>
  </si>
  <si>
    <t>5.921</t>
  </si>
  <si>
    <t>RETORNO DE ACONDICIONAMENTO</t>
  </si>
  <si>
    <t>5.923</t>
  </si>
  <si>
    <t>REMESSA A ORDEM - PA</t>
  </si>
  <si>
    <t>REMESSA POR ORDEM TERCEIROS</t>
  </si>
  <si>
    <t>5.924</t>
  </si>
  <si>
    <t>REMESSA POR CONTA E ORDEM DE TERCEIROS</t>
  </si>
  <si>
    <t>5.927</t>
  </si>
  <si>
    <t>BAIXA DE ESTOQUE</t>
  </si>
  <si>
    <t>5.934</t>
  </si>
  <si>
    <t>Remessa simbólica de mercadoria depositada em armazém geral ou depósito fechado</t>
  </si>
  <si>
    <t>5.949</t>
  </si>
  <si>
    <t>DESCARTE DE RESIDUO INDUSTRIAL</t>
  </si>
  <si>
    <t>VENDA DE SUCATA</t>
  </si>
  <si>
    <t>OUTRAS SAÍDAS - SIMPLES FATURAMENTO</t>
  </si>
  <si>
    <t>REMESSA EM TROCA</t>
  </si>
  <si>
    <t>REMESSA EM TESTE INDUSTRIAL</t>
  </si>
  <si>
    <t>OUTRAS SAIDAS DIVERSAS</t>
  </si>
  <si>
    <t>REMESSA PARA DEPÓSITO</t>
  </si>
  <si>
    <t>RETORNO DE TROCA  - TRIBUTADA</t>
  </si>
  <si>
    <t>REMESSA EMPRESTIMO DE INSUMOS, SEM TRANSITAR PELO ESTABELECIMENTO</t>
  </si>
  <si>
    <t>RETORNO EMPRESTIMO MATERIAIS SEM BAIXA DE ESTOQUE E NAO TRIBUTADO</t>
  </si>
  <si>
    <t>REM INDUST SIMBOLICA</t>
  </si>
  <si>
    <t>RETORNO DE EMPRESTIMO PRODUTO ACABADO</t>
  </si>
  <si>
    <t>REMESSA EMPRESTIMO DE MATERIAL DE CONSUMO</t>
  </si>
  <si>
    <t>6.101</t>
  </si>
  <si>
    <t>VENDA COM ENTREGA EM DEPÓSITO OU ARMAZÉM</t>
  </si>
  <si>
    <t>COMPLEMENTO DE IMPOSTO - IPI</t>
  </si>
  <si>
    <t>VENDA DE PRODUÇÃO DO ESTABELECIMENTO USO CONSUMO</t>
  </si>
  <si>
    <t>6.102</t>
  </si>
  <si>
    <t>VENDA DE MERCADORIA ADQUIRIDA OU RECEBIDA DE TERCEIROS - USO/CONSUMO</t>
  </si>
  <si>
    <t>REVENDA DE MERCADORIA RECEBIDA EM TRANSFERÊNCIA</t>
  </si>
  <si>
    <t>6.105</t>
  </si>
  <si>
    <t>6.106</t>
  </si>
  <si>
    <t>6.109</t>
  </si>
  <si>
    <t>VENDA DE PRODUÇÃO DO ESTABELECIMENTO - ZONA FRANCA DE MANAUS</t>
  </si>
  <si>
    <t>6.110</t>
  </si>
  <si>
    <t>REVENDA DE PROD. ADQ. DE TERCEIROS - ZONA FRANCA MANAUS</t>
  </si>
  <si>
    <t>6.111</t>
  </si>
  <si>
    <t>6.112</t>
  </si>
  <si>
    <t>6.118</t>
  </si>
  <si>
    <t>VENDA A ORDEM PRODUÇÃO DO ESTABELECIMENTO</t>
  </si>
  <si>
    <t>6.119</t>
  </si>
  <si>
    <t>6.122</t>
  </si>
  <si>
    <t>CPL VENDA DE PRODUÇÃO DO ESTABELECIMENTO REMETIDA PARA INDUSTR POR CONTA E ORDEM DO ADQUIRENTE</t>
  </si>
  <si>
    <t>6.123</t>
  </si>
  <si>
    <t>CPL REVENDA CTA ORDEM DE MERCADORIA ADQ/RECEBIDA DE TERCEIROS</t>
  </si>
  <si>
    <t>6.129</t>
  </si>
  <si>
    <t>6.151</t>
  </si>
  <si>
    <t>6.152</t>
  </si>
  <si>
    <t>6.155</t>
  </si>
  <si>
    <t>6.156</t>
  </si>
  <si>
    <t>TRF DE MERC. ADQ. OU RECEBIDA DE TERCEIROS - SAIDA DE OUTRO ESTABELECIMENTO</t>
  </si>
  <si>
    <t>6.201</t>
  </si>
  <si>
    <t>6.251</t>
  </si>
  <si>
    <t>VENDA ENERGIA ELÉTRICA PARA DISTRIBUIÇÃO OU COMERCIALIZAÇÃO</t>
  </si>
  <si>
    <t>6.551</t>
  </si>
  <si>
    <t>6.552</t>
  </si>
  <si>
    <t>6.553</t>
  </si>
  <si>
    <t>6.555</t>
  </si>
  <si>
    <t>DEVOLUÇÃO DE BEM DO ATIVO DE TERC., RECEBIDO PARA USO NO ESTABELECIMENTO</t>
  </si>
  <si>
    <t>6.556</t>
  </si>
  <si>
    <t>6.557</t>
  </si>
  <si>
    <t>6.901</t>
  </si>
  <si>
    <t>COMPLEMENTO DE ICMS - REMESSA PARA INDUSTRIALIZACAO</t>
  </si>
  <si>
    <t>6.905</t>
  </si>
  <si>
    <t>6.909</t>
  </si>
  <si>
    <t>6.911</t>
  </si>
  <si>
    <t>6.913</t>
  </si>
  <si>
    <t>6.915</t>
  </si>
  <si>
    <t>6.917</t>
  </si>
  <si>
    <t>6.920</t>
  </si>
  <si>
    <t>6.921</t>
  </si>
  <si>
    <t>6.923</t>
  </si>
  <si>
    <t>6.924</t>
  </si>
  <si>
    <t>REMESSA P/ INDUSTRIALIZAÇÃO POR CONTA E ORDEM  REG ESPECIAL</t>
  </si>
  <si>
    <t>6.949</t>
  </si>
  <si>
    <t>RETORNO DE EMPRESTIMO DE MATERIAIS</t>
  </si>
  <si>
    <t>7.101</t>
  </si>
  <si>
    <t>VENDA DE PRODUÇÃO DO ESTABELECIMENTO PARA O EXTERIOR</t>
  </si>
  <si>
    <t>7.102</t>
  </si>
  <si>
    <t>REVENDA P/ EXPORTAÇÃO</t>
  </si>
  <si>
    <t>7.105</t>
  </si>
  <si>
    <t>VENDA DIRETA DO ARMAZÉM DESTINADA AO EXTERIOR</t>
  </si>
  <si>
    <t>COMPLEMENTAR DE PRECO EXPORTAÇÃO - VDA ARMAZÉM</t>
  </si>
  <si>
    <t>7.106</t>
  </si>
  <si>
    <t>REVENDA DE PRODUÇÃO - EXPORTAÇÃO -  SAIDA DE ARMAZEM GERAL</t>
  </si>
  <si>
    <t>COMPLEMENTAR DE PRECO EXPORTAÇÃO - REV ARMAZÉM</t>
  </si>
  <si>
    <t>7.127</t>
  </si>
  <si>
    <t>VENDA DE PRODUÇÃO DO ESTABELECIMENTO - REGIME DRAWBACK</t>
  </si>
  <si>
    <t>7.949</t>
  </si>
  <si>
    <t>OUTRAS SAÍDAS DE MERCADORIAS PARA O EXTERIOR</t>
  </si>
  <si>
    <t>REMESSA AMOSTRA P/ EXTERIOR</t>
  </si>
  <si>
    <t>0101.29.00</t>
  </si>
  <si>
    <t>0102.90.90</t>
  </si>
  <si>
    <t>0305.20.90</t>
  </si>
  <si>
    <t>0401.20.10</t>
  </si>
  <si>
    <t>0402.21.10</t>
  </si>
  <si>
    <t>0402.29.10</t>
  </si>
  <si>
    <t>0402.99.00</t>
  </si>
  <si>
    <t>0501.00.00</t>
  </si>
  <si>
    <t>0601.20.00</t>
  </si>
  <si>
    <t>0602.90.89</t>
  </si>
  <si>
    <t>0602.90.90</t>
  </si>
  <si>
    <t>0901.21.00</t>
  </si>
  <si>
    <t>1109.00.00</t>
  </si>
  <si>
    <t>1301.90.90</t>
  </si>
  <si>
    <t>1302.19.99</t>
  </si>
  <si>
    <t>1302.32.20</t>
  </si>
  <si>
    <t>1404.20.90</t>
  </si>
  <si>
    <t>1507.10.00</t>
  </si>
  <si>
    <t>1507.90.19</t>
  </si>
  <si>
    <t>1512.19.19</t>
  </si>
  <si>
    <t>1512.29.90</t>
  </si>
  <si>
    <t>1513.29.19</t>
  </si>
  <si>
    <t>1515.21.00</t>
  </si>
  <si>
    <t>1515.30.00</t>
  </si>
  <si>
    <t>1516.20.00</t>
  </si>
  <si>
    <t>1517.90.90</t>
  </si>
  <si>
    <t>1518.00.10</t>
  </si>
  <si>
    <t>1520.00.10</t>
  </si>
  <si>
    <t>1602.50.00</t>
  </si>
  <si>
    <t>1701.99.00</t>
  </si>
  <si>
    <t>1702.30.11</t>
  </si>
  <si>
    <t>1702.30.20</t>
  </si>
  <si>
    <t>1702.40.20</t>
  </si>
  <si>
    <t>1702.50.00</t>
  </si>
  <si>
    <t>1702.90.00</t>
  </si>
  <si>
    <t>1703.10.00</t>
  </si>
  <si>
    <t>1806.90.00</t>
  </si>
  <si>
    <t>1901.10.90</t>
  </si>
  <si>
    <t>1902.20.00</t>
  </si>
  <si>
    <t>1902.30.00</t>
  </si>
  <si>
    <t>1904.10.00</t>
  </si>
  <si>
    <t>1905.20.10</t>
  </si>
  <si>
    <t>1905.20.90</t>
  </si>
  <si>
    <t>1905.90.90</t>
  </si>
  <si>
    <t>2009.69.00</t>
  </si>
  <si>
    <t>2101.11.10</t>
  </si>
  <si>
    <t>2101.12.00</t>
  </si>
  <si>
    <t>2101.20.20</t>
  </si>
  <si>
    <t>2102.10.90</t>
  </si>
  <si>
    <t>2106.90.10</t>
  </si>
  <si>
    <t>2106.90.29</t>
  </si>
  <si>
    <t>2106.90.90</t>
  </si>
  <si>
    <t>2201.10.00</t>
  </si>
  <si>
    <t>2201.90.00</t>
  </si>
  <si>
    <t>2202.10.00</t>
  </si>
  <si>
    <t>2202.99.00</t>
  </si>
  <si>
    <t>2207.10.10</t>
  </si>
  <si>
    <t>2207.10.90</t>
  </si>
  <si>
    <t>2207.20.11</t>
  </si>
  <si>
    <t>2207.20.19</t>
  </si>
  <si>
    <t>2303.20.00</t>
  </si>
  <si>
    <t>2501.00.11</t>
  </si>
  <si>
    <t>2501.00.19</t>
  </si>
  <si>
    <t>2501.00.90</t>
  </si>
  <si>
    <t>2503.00.10</t>
  </si>
  <si>
    <t>2504.10.00</t>
  </si>
  <si>
    <t>2505.90.00</t>
  </si>
  <si>
    <t>2507.00.10</t>
  </si>
  <si>
    <t>2508.10.00</t>
  </si>
  <si>
    <t>2508.40.90</t>
  </si>
  <si>
    <t>2512.00.00</t>
  </si>
  <si>
    <t>2517.10.00</t>
  </si>
  <si>
    <t>2518.10.00</t>
  </si>
  <si>
    <t>2520.20.90</t>
  </si>
  <si>
    <t>2522.10.00</t>
  </si>
  <si>
    <t>2522.20.00</t>
  </si>
  <si>
    <t>2522.30.00</t>
  </si>
  <si>
    <t>2523.29.10</t>
  </si>
  <si>
    <t>2523.30.00</t>
  </si>
  <si>
    <t>2603.00.90</t>
  </si>
  <si>
    <t>2608.00.90</t>
  </si>
  <si>
    <t>2620.99.90</t>
  </si>
  <si>
    <t>2703.00.00</t>
  </si>
  <si>
    <t>2705.00.00</t>
  </si>
  <si>
    <t>2707.30.00</t>
  </si>
  <si>
    <t>2707.50.10</t>
  </si>
  <si>
    <t>2707.50.90</t>
  </si>
  <si>
    <t>2707.99.90</t>
  </si>
  <si>
    <t>2709.00.10</t>
  </si>
  <si>
    <t>2710.12.29</t>
  </si>
  <si>
    <t>2710.12.30</t>
  </si>
  <si>
    <t>2710.12.49</t>
  </si>
  <si>
    <t>2710.12.59</t>
  </si>
  <si>
    <t>2710.12.90</t>
  </si>
  <si>
    <t>2710.19.19</t>
  </si>
  <si>
    <t>2710.19.21</t>
  </si>
  <si>
    <t>2710.19.22</t>
  </si>
  <si>
    <t>2710.19.31</t>
  </si>
  <si>
    <t>2710.19.32</t>
  </si>
  <si>
    <t>2710.19.91</t>
  </si>
  <si>
    <t>2710.19.92</t>
  </si>
  <si>
    <t>2710.19.93</t>
  </si>
  <si>
    <t>2710.19.99</t>
  </si>
  <si>
    <t>2710.99.00</t>
  </si>
  <si>
    <t>2711.19.10</t>
  </si>
  <si>
    <t>2711.21.00</t>
  </si>
  <si>
    <t>2711.29.90</t>
  </si>
  <si>
    <t>2712.10.00</t>
  </si>
  <si>
    <t>2712.90.00</t>
  </si>
  <si>
    <t>2715.00.00</t>
  </si>
  <si>
    <t>2716.00.00</t>
  </si>
  <si>
    <t>2801.20.10</t>
  </si>
  <si>
    <t>2801.20.90</t>
  </si>
  <si>
    <t>2801.30.00</t>
  </si>
  <si>
    <t>2803.00.19</t>
  </si>
  <si>
    <t>2804.10.00</t>
  </si>
  <si>
    <t>2804.21.00</t>
  </si>
  <si>
    <t>2804.29.90</t>
  </si>
  <si>
    <t>2804.30.00</t>
  </si>
  <si>
    <t>2804.40.00</t>
  </si>
  <si>
    <t>2804.90.00</t>
  </si>
  <si>
    <t>2806.10.20</t>
  </si>
  <si>
    <t>2807.00.10</t>
  </si>
  <si>
    <t>2808.00.10</t>
  </si>
  <si>
    <t>2809.10.00</t>
  </si>
  <si>
    <t>2809.20.11</t>
  </si>
  <si>
    <t>2809.20.90</t>
  </si>
  <si>
    <t>2810.00.10</t>
  </si>
  <si>
    <t>2811.19.10</t>
  </si>
  <si>
    <t>2811.19.20</t>
  </si>
  <si>
    <t>2811.19.30</t>
  </si>
  <si>
    <t>2811.19.90</t>
  </si>
  <si>
    <t>2811.21.00</t>
  </si>
  <si>
    <t>2811.22.10</t>
  </si>
  <si>
    <t>2811.22.30</t>
  </si>
  <si>
    <t>2811.22.90</t>
  </si>
  <si>
    <t>2814.10.00</t>
  </si>
  <si>
    <t>2814.20.00</t>
  </si>
  <si>
    <t>2815.11.00</t>
  </si>
  <si>
    <t>2815.12.00</t>
  </si>
  <si>
    <t>2815.20.00</t>
  </si>
  <si>
    <t>2816.10.10</t>
  </si>
  <si>
    <t>2816.40.10</t>
  </si>
  <si>
    <t>2817.00.10</t>
  </si>
  <si>
    <t>2818.20.90</t>
  </si>
  <si>
    <t>2820.90.10</t>
  </si>
  <si>
    <t>2821.10.11</t>
  </si>
  <si>
    <t>2825.10.20</t>
  </si>
  <si>
    <t>2825.90.90</t>
  </si>
  <si>
    <t>2827.20.10</t>
  </si>
  <si>
    <t>2827.20.90</t>
  </si>
  <si>
    <t>2827.31.90</t>
  </si>
  <si>
    <t>2827.39.60</t>
  </si>
  <si>
    <t>2827.39.96</t>
  </si>
  <si>
    <t>2827.39.97</t>
  </si>
  <si>
    <t>2827.39.99</t>
  </si>
  <si>
    <t>2827.49.21</t>
  </si>
  <si>
    <t>2827.49.29</t>
  </si>
  <si>
    <t>2827.51.00</t>
  </si>
  <si>
    <t>2827.59.00</t>
  </si>
  <si>
    <t>2827.60.12</t>
  </si>
  <si>
    <t>2828.90.11</t>
  </si>
  <si>
    <t>2828.90.20</t>
  </si>
  <si>
    <t>2829.90.31</t>
  </si>
  <si>
    <t>2829.90.50</t>
  </si>
  <si>
    <t>2832.10.10</t>
  </si>
  <si>
    <t>2832.30.20</t>
  </si>
  <si>
    <t>2833.11.10</t>
  </si>
  <si>
    <t>2833.21.00</t>
  </si>
  <si>
    <t>2833.25.20</t>
  </si>
  <si>
    <t>2833.29.40</t>
  </si>
  <si>
    <t>2833.29.70</t>
  </si>
  <si>
    <t>2833.29.90</t>
  </si>
  <si>
    <t>2833.40.10</t>
  </si>
  <si>
    <t>2833.40.20</t>
  </si>
  <si>
    <t>2834.10.10</t>
  </si>
  <si>
    <t>2834.29.90</t>
  </si>
  <si>
    <t>2835.29.80</t>
  </si>
  <si>
    <t>2835.31.90</t>
  </si>
  <si>
    <t>2836.20.10</t>
  </si>
  <si>
    <t>2836.30.00</t>
  </si>
  <si>
    <t>2836.50.00</t>
  </si>
  <si>
    <t>2836.99.19</t>
  </si>
  <si>
    <t>2839.90.10</t>
  </si>
  <si>
    <t>2841.50.14</t>
  </si>
  <si>
    <t>2842.10.90</t>
  </si>
  <si>
    <t>2842.90.00</t>
  </si>
  <si>
    <t>2843.21.00</t>
  </si>
  <si>
    <t>2843.29.90</t>
  </si>
  <si>
    <t>2843.90.90</t>
  </si>
  <si>
    <t>2847.00.00</t>
  </si>
  <si>
    <t>2850.00.90</t>
  </si>
  <si>
    <t>2852.10.11</t>
  </si>
  <si>
    <t>2852.10.14</t>
  </si>
  <si>
    <t>2852.10.21</t>
  </si>
  <si>
    <t>2853.00.90</t>
  </si>
  <si>
    <t>2853.90.90</t>
  </si>
  <si>
    <t>2901.10.00</t>
  </si>
  <si>
    <t>2901.21.00</t>
  </si>
  <si>
    <t>2901.29.00</t>
  </si>
  <si>
    <t>2902.11.00</t>
  </si>
  <si>
    <t>2902.30.00</t>
  </si>
  <si>
    <t>2902.42.00</t>
  </si>
  <si>
    <t>2902.50.00</t>
  </si>
  <si>
    <t>2902.60.00</t>
  </si>
  <si>
    <t>2902.90.20</t>
  </si>
  <si>
    <t>2902.90.90</t>
  </si>
  <si>
    <t>2903.11.10</t>
  </si>
  <si>
    <t>2903.11.20</t>
  </si>
  <si>
    <t>2903.12.00</t>
  </si>
  <si>
    <t>2903.13.00</t>
  </si>
  <si>
    <t>2903.45.10</t>
  </si>
  <si>
    <t>2903.71.00</t>
  </si>
  <si>
    <t>2903.73.00</t>
  </si>
  <si>
    <t>2904.10.11</t>
  </si>
  <si>
    <t>2904.10.30</t>
  </si>
  <si>
    <t>2904.10.51</t>
  </si>
  <si>
    <t>2904.20.51</t>
  </si>
  <si>
    <t>2905.11.00</t>
  </si>
  <si>
    <t>2905.12.10</t>
  </si>
  <si>
    <t>2905.12.20</t>
  </si>
  <si>
    <t>2905.13.00</t>
  </si>
  <si>
    <t>2905.14.10</t>
  </si>
  <si>
    <t>2905.14.20</t>
  </si>
  <si>
    <t>2905.16.00</t>
  </si>
  <si>
    <t>2905.17.10</t>
  </si>
  <si>
    <t>2905.17.20</t>
  </si>
  <si>
    <t>2905.17.30</t>
  </si>
  <si>
    <t>2905.19.11</t>
  </si>
  <si>
    <t>2905.19.12</t>
  </si>
  <si>
    <t>2905.19.19</t>
  </si>
  <si>
    <t>2905.19.29</t>
  </si>
  <si>
    <t>2905.19.93</t>
  </si>
  <si>
    <t>2905.19.96</t>
  </si>
  <si>
    <t>2905.19.99</t>
  </si>
  <si>
    <t>2905.29.90</t>
  </si>
  <si>
    <t>2905.31.00</t>
  </si>
  <si>
    <t>2905.32.00</t>
  </si>
  <si>
    <t>2905.39.10</t>
  </si>
  <si>
    <t>2905.41.00</t>
  </si>
  <si>
    <t>2905.42.00</t>
  </si>
  <si>
    <t>2905.44.00</t>
  </si>
  <si>
    <t>2905.45.00</t>
  </si>
  <si>
    <t>2905.59.90</t>
  </si>
  <si>
    <t>2906.21.00</t>
  </si>
  <si>
    <t>2906.29.90</t>
  </si>
  <si>
    <t>2907.11.00</t>
  </si>
  <si>
    <t>2907.12.00</t>
  </si>
  <si>
    <t>2907.13.00</t>
  </si>
  <si>
    <t>2907.19.10</t>
  </si>
  <si>
    <t>2907.19.90</t>
  </si>
  <si>
    <t>2907.23.00</t>
  </si>
  <si>
    <t>2907.29.00</t>
  </si>
  <si>
    <t>2908.99.30</t>
  </si>
  <si>
    <t>2909.11.00</t>
  </si>
  <si>
    <t>2909.19.10</t>
  </si>
  <si>
    <t>2909.19.90</t>
  </si>
  <si>
    <t>2909.20.00</t>
  </si>
  <si>
    <t>2909.41.00</t>
  </si>
  <si>
    <t>2909.43.10</t>
  </si>
  <si>
    <t>2909.43.20</t>
  </si>
  <si>
    <t>2909.44.11</t>
  </si>
  <si>
    <t>2909.44.19</t>
  </si>
  <si>
    <t>2909.44.21</t>
  </si>
  <si>
    <t>2909.44.29</t>
  </si>
  <si>
    <t>2909.49.21</t>
  </si>
  <si>
    <t>2909.49.23</t>
  </si>
  <si>
    <t>2909.49.24</t>
  </si>
  <si>
    <t>2909.49.29</t>
  </si>
  <si>
    <t>2909.49.31</t>
  </si>
  <si>
    <t>2909.49.49</t>
  </si>
  <si>
    <t>2909.49.90</t>
  </si>
  <si>
    <t>2909.50.90</t>
  </si>
  <si>
    <t>2909.60.90</t>
  </si>
  <si>
    <t>2910.10.00</t>
  </si>
  <si>
    <t>2910.20.00</t>
  </si>
  <si>
    <t>2910.90.90</t>
  </si>
  <si>
    <t>2911.00.90</t>
  </si>
  <si>
    <t>2912.11.00</t>
  </si>
  <si>
    <t>2912.12.00</t>
  </si>
  <si>
    <t>2912.49.90</t>
  </si>
  <si>
    <t>2912.50.00</t>
  </si>
  <si>
    <t>2912.60.00</t>
  </si>
  <si>
    <t>2914.11.00</t>
  </si>
  <si>
    <t>2914.12.00</t>
  </si>
  <si>
    <t>2914.13.00</t>
  </si>
  <si>
    <t>2914.19.90</t>
  </si>
  <si>
    <t>2914.22.10</t>
  </si>
  <si>
    <t>2914.39.10</t>
  </si>
  <si>
    <t>2914.39.90</t>
  </si>
  <si>
    <t>2914.40.10</t>
  </si>
  <si>
    <t>2914.50.90</t>
  </si>
  <si>
    <t>2914.79.22</t>
  </si>
  <si>
    <t>2915.11.00</t>
  </si>
  <si>
    <t>2915.12.90</t>
  </si>
  <si>
    <t>2915.21.00</t>
  </si>
  <si>
    <t>2915.24.00</t>
  </si>
  <si>
    <t>2915.29.10</t>
  </si>
  <si>
    <t>2915.29.90</t>
  </si>
  <si>
    <t>2915.31.00</t>
  </si>
  <si>
    <t>2915.33.00</t>
  </si>
  <si>
    <t>2915.39.21</t>
  </si>
  <si>
    <t>2915.39.31</t>
  </si>
  <si>
    <t>2915.39.32</t>
  </si>
  <si>
    <t>2915.39.39</t>
  </si>
  <si>
    <t>2915.40.20</t>
  </si>
  <si>
    <t>2915.60.19</t>
  </si>
  <si>
    <t>2915.60.29</t>
  </si>
  <si>
    <t>2915.70.19</t>
  </si>
  <si>
    <t>2915.70.20</t>
  </si>
  <si>
    <t>2915.70.40</t>
  </si>
  <si>
    <t>2915.90.21</t>
  </si>
  <si>
    <t>2915.90.32</t>
  </si>
  <si>
    <t>2915.90.33</t>
  </si>
  <si>
    <t>2915.90.49</t>
  </si>
  <si>
    <t>2915.90.90</t>
  </si>
  <si>
    <t>2916.11.10</t>
  </si>
  <si>
    <t>2916.12.10</t>
  </si>
  <si>
    <t>2916.12.30</t>
  </si>
  <si>
    <t>2916.12.40</t>
  </si>
  <si>
    <t>2916.12.90</t>
  </si>
  <si>
    <t>2916.13.10</t>
  </si>
  <si>
    <t>2916.14.10</t>
  </si>
  <si>
    <t>2916.14.90</t>
  </si>
  <si>
    <t>2916.15.19</t>
  </si>
  <si>
    <t>2916.15.20</t>
  </si>
  <si>
    <t>2916.19.90</t>
  </si>
  <si>
    <t>2916.20.15</t>
  </si>
  <si>
    <t>2916.31.39</t>
  </si>
  <si>
    <t>2916.39.40</t>
  </si>
  <si>
    <t>2917.14.00</t>
  </si>
  <si>
    <t>2917.19.10</t>
  </si>
  <si>
    <t>2917.19.90</t>
  </si>
  <si>
    <t>2917.34.00</t>
  </si>
  <si>
    <t>2917.39.20</t>
  </si>
  <si>
    <t>2917.39.90</t>
  </si>
  <si>
    <t>2918.11.00</t>
  </si>
  <si>
    <t>2918.14.00</t>
  </si>
  <si>
    <t>2918.15.00</t>
  </si>
  <si>
    <t>2918.19.29</t>
  </si>
  <si>
    <t>2918.19.30</t>
  </si>
  <si>
    <t>2918.19.90</t>
  </si>
  <si>
    <t>2918.21.10</t>
  </si>
  <si>
    <t>2918.23.00</t>
  </si>
  <si>
    <t>2918.29.40</t>
  </si>
  <si>
    <t>2918.99.99</t>
  </si>
  <si>
    <t>2920.90.49</t>
  </si>
  <si>
    <t>2921.11.21</t>
  </si>
  <si>
    <t>2921.19.23</t>
  </si>
  <si>
    <t>2921.19.24</t>
  </si>
  <si>
    <t>2921.19.99</t>
  </si>
  <si>
    <t>2921.29.90</t>
  </si>
  <si>
    <t>2921.30.11</t>
  </si>
  <si>
    <t>2922.11.00</t>
  </si>
  <si>
    <t>2922.12.00</t>
  </si>
  <si>
    <t>2922.15.00</t>
  </si>
  <si>
    <t>2922.19.19</t>
  </si>
  <si>
    <t>2922.19.51</t>
  </si>
  <si>
    <t>2922.49.10</t>
  </si>
  <si>
    <t>2922.49.20</t>
  </si>
  <si>
    <t>2923.90.10</t>
  </si>
  <si>
    <t>2923.90.40</t>
  </si>
  <si>
    <t>2923.90.50</t>
  </si>
  <si>
    <t>2923.90.90</t>
  </si>
  <si>
    <t>2924.19.22</t>
  </si>
  <si>
    <t>2924.19.31</t>
  </si>
  <si>
    <t>2924.19.99</t>
  </si>
  <si>
    <t>2924.29.19</t>
  </si>
  <si>
    <t>2926.90.23</t>
  </si>
  <si>
    <t>2926.90.99</t>
  </si>
  <si>
    <t>2927.00.29</t>
  </si>
  <si>
    <t>2928.00.90</t>
  </si>
  <si>
    <t>2930.90.19</t>
  </si>
  <si>
    <t>2930.90.79</t>
  </si>
  <si>
    <t>2930.90.99</t>
  </si>
  <si>
    <t>2931.49.14</t>
  </si>
  <si>
    <t>2931.49.15</t>
  </si>
  <si>
    <t>2931.49.90</t>
  </si>
  <si>
    <t>2932.11.00</t>
  </si>
  <si>
    <t>2932.19.10</t>
  </si>
  <si>
    <t>2932.19.90</t>
  </si>
  <si>
    <t>2932.20.00</t>
  </si>
  <si>
    <t>2932.99.99</t>
  </si>
  <si>
    <t>2933.21.90</t>
  </si>
  <si>
    <t>2933.29.99</t>
  </si>
  <si>
    <t>2933.31.10</t>
  </si>
  <si>
    <t>2933.39.99</t>
  </si>
  <si>
    <t>2933.69.21</t>
  </si>
  <si>
    <t>2933.69.29</t>
  </si>
  <si>
    <t>2933.79.90</t>
  </si>
  <si>
    <t>2933.99.19</t>
  </si>
  <si>
    <t>2933.99.69</t>
  </si>
  <si>
    <t>2933.99.99</t>
  </si>
  <si>
    <t>2934.20.39</t>
  </si>
  <si>
    <t>2934.20.90</t>
  </si>
  <si>
    <t>2934.99.11</t>
  </si>
  <si>
    <t>2934.99.99</t>
  </si>
  <si>
    <t>2936.28.11</t>
  </si>
  <si>
    <t>2938.90.90</t>
  </si>
  <si>
    <t>2939.30.10</t>
  </si>
  <si>
    <t>2941.10.10</t>
  </si>
  <si>
    <t>2941.90.81</t>
  </si>
  <si>
    <t>2942.00.00</t>
  </si>
  <si>
    <t>3002.49.99</t>
  </si>
  <si>
    <t>3003.90.79</t>
  </si>
  <si>
    <t>3003.90.99</t>
  </si>
  <si>
    <t>3004.20.11</t>
  </si>
  <si>
    <t>3004.20.29</t>
  </si>
  <si>
    <t>3004.20.31</t>
  </si>
  <si>
    <t>3004.32.90</t>
  </si>
  <si>
    <t>3004.39.99</t>
  </si>
  <si>
    <t>3004.49.90</t>
  </si>
  <si>
    <t>3004.50.90</t>
  </si>
  <si>
    <t>3004.90.24</t>
  </si>
  <si>
    <t>3004.90.29</t>
  </si>
  <si>
    <t>3004.90.37</t>
  </si>
  <si>
    <t>3004.90.39</t>
  </si>
  <si>
    <t>3004.90.41</t>
  </si>
  <si>
    <t>3004.90.45</t>
  </si>
  <si>
    <t>3004.90.47</t>
  </si>
  <si>
    <t>3004.90.49</t>
  </si>
  <si>
    <t>3004.90.62</t>
  </si>
  <si>
    <t>3004.90.69</t>
  </si>
  <si>
    <t>3004.90.73</t>
  </si>
  <si>
    <t>3004.90.79</t>
  </si>
  <si>
    <t>3004.90.99</t>
  </si>
  <si>
    <t>3005.10.90</t>
  </si>
  <si>
    <t>3005.90.90</t>
  </si>
  <si>
    <t>3101.00.00</t>
  </si>
  <si>
    <t>3102.10.10</t>
  </si>
  <si>
    <t>3102.10.90</t>
  </si>
  <si>
    <t>3104.20.90</t>
  </si>
  <si>
    <t>3104.90.90</t>
  </si>
  <si>
    <t>3105.10.00</t>
  </si>
  <si>
    <t>3105.60.00</t>
  </si>
  <si>
    <t>3105.90.90</t>
  </si>
  <si>
    <t>3201.90.20</t>
  </si>
  <si>
    <t>3201.90.90</t>
  </si>
  <si>
    <t>3204.11.00</t>
  </si>
  <si>
    <t>3204.12.10</t>
  </si>
  <si>
    <t>3204.14.00</t>
  </si>
  <si>
    <t>3204.16.00</t>
  </si>
  <si>
    <t>3204.17.00</t>
  </si>
  <si>
    <t>3204.19.20</t>
  </si>
  <si>
    <t>3204.19.90</t>
  </si>
  <si>
    <t>3204.90.00</t>
  </si>
  <si>
    <t>3205.00.00</t>
  </si>
  <si>
    <t>3206.11.10</t>
  </si>
  <si>
    <t>3206.11.20</t>
  </si>
  <si>
    <t>3206.11.30</t>
  </si>
  <si>
    <t>3206.20.00</t>
  </si>
  <si>
    <t>3206.41.00</t>
  </si>
  <si>
    <t>3206.49.90</t>
  </si>
  <si>
    <t>3207.40.10</t>
  </si>
  <si>
    <t>3208.10.10</t>
  </si>
  <si>
    <t>3208.20.11</t>
  </si>
  <si>
    <t>3208.20.19</t>
  </si>
  <si>
    <t>3208.20.20</t>
  </si>
  <si>
    <t>3208.90.10</t>
  </si>
  <si>
    <t>3208.90.29</t>
  </si>
  <si>
    <t>3208.90.39</t>
  </si>
  <si>
    <t>3209.10.10</t>
  </si>
  <si>
    <t>3211.00.00</t>
  </si>
  <si>
    <t>3212.90.90</t>
  </si>
  <si>
    <t>3214.10.10</t>
  </si>
  <si>
    <t>3214.90.00</t>
  </si>
  <si>
    <t>3215.90.00</t>
  </si>
  <si>
    <t>3301.12.90</t>
  </si>
  <si>
    <t>3301.29.90</t>
  </si>
  <si>
    <t>3302.90.19</t>
  </si>
  <si>
    <t>3304.99.90</t>
  </si>
  <si>
    <t>3305.10.00</t>
  </si>
  <si>
    <t>3305.90.00</t>
  </si>
  <si>
    <t>3307.41.00</t>
  </si>
  <si>
    <t>3307.49.00</t>
  </si>
  <si>
    <t>3307.90.00</t>
  </si>
  <si>
    <t>3401.11.10</t>
  </si>
  <si>
    <t>3401.20.10</t>
  </si>
  <si>
    <t>3401.20.90</t>
  </si>
  <si>
    <t>3401.30.00</t>
  </si>
  <si>
    <t>3402.11.90</t>
  </si>
  <si>
    <t>3402.13.00</t>
  </si>
  <si>
    <t>3402.31.00</t>
  </si>
  <si>
    <t>3402.39.90</t>
  </si>
  <si>
    <t>3402.41.90</t>
  </si>
  <si>
    <t>3402.42.00</t>
  </si>
  <si>
    <t>3402.49.00</t>
  </si>
  <si>
    <t>3402.50.00</t>
  </si>
  <si>
    <t>3402.90.11</t>
  </si>
  <si>
    <t>3402.90.19</t>
  </si>
  <si>
    <t>3402.90.29</t>
  </si>
  <si>
    <t>3402.90.31</t>
  </si>
  <si>
    <t>3402.90.39</t>
  </si>
  <si>
    <t>3402.90.90</t>
  </si>
  <si>
    <t>3403.19.00</t>
  </si>
  <si>
    <t>3403.99.00</t>
  </si>
  <si>
    <t>3404.20.00</t>
  </si>
  <si>
    <t>3404.20.10</t>
  </si>
  <si>
    <t>3404.90.19</t>
  </si>
  <si>
    <t>3405.20.00</t>
  </si>
  <si>
    <t>3405.40.00</t>
  </si>
  <si>
    <t>3504.00.90</t>
  </si>
  <si>
    <t>3505.10.00</t>
  </si>
  <si>
    <t>3506.10.10</t>
  </si>
  <si>
    <t>3506.10.90</t>
  </si>
  <si>
    <t>3506.91.10</t>
  </si>
  <si>
    <t>3506.91.20</t>
  </si>
  <si>
    <t>3506.91.90</t>
  </si>
  <si>
    <t>3506.99.00</t>
  </si>
  <si>
    <t>3507.90.39</t>
  </si>
  <si>
    <t>3507.90.41</t>
  </si>
  <si>
    <t>3507.90.49</t>
  </si>
  <si>
    <t>3703.90.90</t>
  </si>
  <si>
    <t>3801.10.00</t>
  </si>
  <si>
    <t>3802.10.00</t>
  </si>
  <si>
    <t>3802.90.10</t>
  </si>
  <si>
    <t>3803.00.90</t>
  </si>
  <si>
    <t>3804.00.20</t>
  </si>
  <si>
    <t>3806.90.11</t>
  </si>
  <si>
    <t>3807.00.00</t>
  </si>
  <si>
    <t>3808.91.19</t>
  </si>
  <si>
    <t>3808.91.97</t>
  </si>
  <si>
    <t>3808.91.99</t>
  </si>
  <si>
    <t>3808.92.99</t>
  </si>
  <si>
    <t>3808.93.24</t>
  </si>
  <si>
    <t>3808.93.29</t>
  </si>
  <si>
    <t>3808.94.19</t>
  </si>
  <si>
    <t>3808.94.29</t>
  </si>
  <si>
    <t>3808.99.19</t>
  </si>
  <si>
    <t>3808.99.99</t>
  </si>
  <si>
    <t>3809.92.90</t>
  </si>
  <si>
    <t>3810.10.10</t>
  </si>
  <si>
    <t>3811.21.90</t>
  </si>
  <si>
    <t>3811.29.90</t>
  </si>
  <si>
    <t>3811.90.90</t>
  </si>
  <si>
    <t>3812.39.29</t>
  </si>
  <si>
    <t>3814.00.90</t>
  </si>
  <si>
    <t>3815.12.90</t>
  </si>
  <si>
    <t>3815.19.00</t>
  </si>
  <si>
    <t>3815.90.99</t>
  </si>
  <si>
    <t>3816.00.90</t>
  </si>
  <si>
    <t>3817.00.10</t>
  </si>
  <si>
    <t>3819.00.00</t>
  </si>
  <si>
    <t>3820.00.00</t>
  </si>
  <si>
    <t>3821.00.00</t>
  </si>
  <si>
    <t>3822.00.90</t>
  </si>
  <si>
    <t>3822.12.00</t>
  </si>
  <si>
    <t>3822.19.90</t>
  </si>
  <si>
    <t>3822.90.00</t>
  </si>
  <si>
    <t>3823.11.00</t>
  </si>
  <si>
    <t>3823.12.00</t>
  </si>
  <si>
    <t>3823.13.00</t>
  </si>
  <si>
    <t>3823.19.90</t>
  </si>
  <si>
    <t>3823.70.10</t>
  </si>
  <si>
    <t>3823.70.20</t>
  </si>
  <si>
    <t>3823.70.90</t>
  </si>
  <si>
    <t>3824.40.00</t>
  </si>
  <si>
    <t>3824.50.00</t>
  </si>
  <si>
    <t>3824.71.90</t>
  </si>
  <si>
    <t>3824.81.90</t>
  </si>
  <si>
    <t>3824.90.29</t>
  </si>
  <si>
    <t>3824.90.49</t>
  </si>
  <si>
    <t>3824.90.89</t>
  </si>
  <si>
    <t>3824.91.00</t>
  </si>
  <si>
    <t>3824.99.19</t>
  </si>
  <si>
    <t>3824.99.29</t>
  </si>
  <si>
    <t>3824.99.31</t>
  </si>
  <si>
    <t>3824.99.41</t>
  </si>
  <si>
    <t>3824.99.42</t>
  </si>
  <si>
    <t>3824.99.49</t>
  </si>
  <si>
    <t>3824.99.51</t>
  </si>
  <si>
    <t>3824.99.79</t>
  </si>
  <si>
    <t>3824.99.85</t>
  </si>
  <si>
    <t>3824.99.89</t>
  </si>
  <si>
    <t>3825.61.00</t>
  </si>
  <si>
    <t>3825.69.00</t>
  </si>
  <si>
    <t>3826.00.00</t>
  </si>
  <si>
    <t>3827.63.00</t>
  </si>
  <si>
    <t>3901.20.29</t>
  </si>
  <si>
    <t>3903.90.90</t>
  </si>
  <si>
    <t>3904.61.90</t>
  </si>
  <si>
    <t>3905.99.90</t>
  </si>
  <si>
    <t>3906.90.11</t>
  </si>
  <si>
    <t>3906.90.19</t>
  </si>
  <si>
    <t>3906.90.29</t>
  </si>
  <si>
    <t>3906.90.31</t>
  </si>
  <si>
    <t>3906.90.39</t>
  </si>
  <si>
    <t>3906.90.49</t>
  </si>
  <si>
    <t>3906.90.69</t>
  </si>
  <si>
    <t>3907.10.49</t>
  </si>
  <si>
    <t>3907.29.31</t>
  </si>
  <si>
    <t>3907.29.39</t>
  </si>
  <si>
    <t>3907.29.90</t>
  </si>
  <si>
    <t>3907.29.99</t>
  </si>
  <si>
    <t>3907.30.11</t>
  </si>
  <si>
    <t>3907.50.10</t>
  </si>
  <si>
    <t>3907.50.90</t>
  </si>
  <si>
    <t>3907.91.00</t>
  </si>
  <si>
    <t>3907.99.99</t>
  </si>
  <si>
    <t>3909.40.19</t>
  </si>
  <si>
    <t>3909.40.99</t>
  </si>
  <si>
    <t>3909.50.19</t>
  </si>
  <si>
    <t>3910.00.12</t>
  </si>
  <si>
    <t>3910.00.19</t>
  </si>
  <si>
    <t>3910.00.30</t>
  </si>
  <si>
    <t>3910.00.90</t>
  </si>
  <si>
    <t>3911.90.29</t>
  </si>
  <si>
    <t>3912.39.10</t>
  </si>
  <si>
    <t>3912.39.90</t>
  </si>
  <si>
    <t>3913.90.50</t>
  </si>
  <si>
    <t>3913.90.90</t>
  </si>
  <si>
    <t>3914.00.11</t>
  </si>
  <si>
    <t>3914.00.90</t>
  </si>
  <si>
    <t>3915.90.00</t>
  </si>
  <si>
    <t>3916.10.00</t>
  </si>
  <si>
    <t>3916.20.00</t>
  </si>
  <si>
    <t>3916.90.90</t>
  </si>
  <si>
    <t>3917.21.00</t>
  </si>
  <si>
    <t>3917.22.00</t>
  </si>
  <si>
    <t>3917.23.00</t>
  </si>
  <si>
    <t>3917.29.00</t>
  </si>
  <si>
    <t>3917.31.00</t>
  </si>
  <si>
    <t>3917.32.29</t>
  </si>
  <si>
    <t>3917.32.40</t>
  </si>
  <si>
    <t>3917.32.90</t>
  </si>
  <si>
    <t>3917.33.00</t>
  </si>
  <si>
    <t>3917.39.00</t>
  </si>
  <si>
    <t>3917.40.10</t>
  </si>
  <si>
    <t>3917.40.90</t>
  </si>
  <si>
    <t>3918.90.00</t>
  </si>
  <si>
    <t>3919.10.10</t>
  </si>
  <si>
    <t>3919.10.20</t>
  </si>
  <si>
    <t>3919.10.90</t>
  </si>
  <si>
    <t>3919.90.00</t>
  </si>
  <si>
    <t>3919.90.90</t>
  </si>
  <si>
    <t>3920.10.99</t>
  </si>
  <si>
    <t>3920.20.19</t>
  </si>
  <si>
    <t>3920.20.90</t>
  </si>
  <si>
    <t>3920.43.90</t>
  </si>
  <si>
    <t>3920.49.00</t>
  </si>
  <si>
    <t>3920.59.00</t>
  </si>
  <si>
    <t>3920.61.00</t>
  </si>
  <si>
    <t>3920.62.19</t>
  </si>
  <si>
    <t>3920.62.99</t>
  </si>
  <si>
    <t>3920.99.20</t>
  </si>
  <si>
    <t>3920.99.90</t>
  </si>
  <si>
    <t>3921.19.00</t>
  </si>
  <si>
    <t>3921.90.90</t>
  </si>
  <si>
    <t>3922.20.00</t>
  </si>
  <si>
    <t>3922.90.00</t>
  </si>
  <si>
    <t>3923.10.90</t>
  </si>
  <si>
    <t>3923.21.10</t>
  </si>
  <si>
    <t>3923.21.90</t>
  </si>
  <si>
    <t>3923.29.10</t>
  </si>
  <si>
    <t>3923.29.90</t>
  </si>
  <si>
    <t>3923.30.00</t>
  </si>
  <si>
    <t>3923.30.90</t>
  </si>
  <si>
    <t>3923.40.00</t>
  </si>
  <si>
    <t>3923.50.00</t>
  </si>
  <si>
    <t>3923.90.00</t>
  </si>
  <si>
    <t>3923.90.90</t>
  </si>
  <si>
    <t>3924.10.00</t>
  </si>
  <si>
    <t>3924.90.00</t>
  </si>
  <si>
    <t>3925.10.00</t>
  </si>
  <si>
    <t>3925.20.00</t>
  </si>
  <si>
    <t>3925.90.10</t>
  </si>
  <si>
    <t>3925.90.90</t>
  </si>
  <si>
    <t>3926.10.00</t>
  </si>
  <si>
    <t>3926.20.00</t>
  </si>
  <si>
    <t>3926.30.00</t>
  </si>
  <si>
    <t>3926.90.10</t>
  </si>
  <si>
    <t>3926.90.40</t>
  </si>
  <si>
    <t>3926.90.61</t>
  </si>
  <si>
    <t>3926.90.69</t>
  </si>
  <si>
    <t>3926.90.90</t>
  </si>
  <si>
    <t>4001.29.90</t>
  </si>
  <si>
    <t>4002.11.10</t>
  </si>
  <si>
    <t>4003.00.00</t>
  </si>
  <si>
    <t>4005.91.90</t>
  </si>
  <si>
    <t>4006.90.00</t>
  </si>
  <si>
    <t>4008.21.00</t>
  </si>
  <si>
    <t>4009.11.00</t>
  </si>
  <si>
    <t>4009.12.90</t>
  </si>
  <si>
    <t>4009.21.90</t>
  </si>
  <si>
    <t>4009.22.90</t>
  </si>
  <si>
    <t>4009.31.00</t>
  </si>
  <si>
    <t>4009.32.90</t>
  </si>
  <si>
    <t>4009.42.10</t>
  </si>
  <si>
    <t>4009.42.90</t>
  </si>
  <si>
    <t>4010.31.00</t>
  </si>
  <si>
    <t>4010.32.00</t>
  </si>
  <si>
    <t>4010.34.00</t>
  </si>
  <si>
    <t>4010.39.00</t>
  </si>
  <si>
    <t>4011.20.90</t>
  </si>
  <si>
    <t>4011.50.00</t>
  </si>
  <si>
    <t>4012.90.90</t>
  </si>
  <si>
    <t>4013.20.00</t>
  </si>
  <si>
    <t>4013.90.00</t>
  </si>
  <si>
    <t>4015.12.00</t>
  </si>
  <si>
    <t>4015.19.00</t>
  </si>
  <si>
    <t>4015.90.00</t>
  </si>
  <si>
    <t>4016.10.10</t>
  </si>
  <si>
    <t>4016.10.90</t>
  </si>
  <si>
    <t>4016.92.00</t>
  </si>
  <si>
    <t>4016.93.00</t>
  </si>
  <si>
    <t>4016.99.90</t>
  </si>
  <si>
    <t>4202.12.10</t>
  </si>
  <si>
    <t>4202.12.20</t>
  </si>
  <si>
    <t>4202.19.00</t>
  </si>
  <si>
    <t>4202.22.20</t>
  </si>
  <si>
    <t>4202.29.00</t>
  </si>
  <si>
    <t>4202.31.00</t>
  </si>
  <si>
    <t>4202.32.00</t>
  </si>
  <si>
    <t>4202.92.00</t>
  </si>
  <si>
    <t>4202.99.00</t>
  </si>
  <si>
    <t>4203.29.00</t>
  </si>
  <si>
    <t>4407.29.10</t>
  </si>
  <si>
    <t>4407.99.90</t>
  </si>
  <si>
    <t>4408.90.90</t>
  </si>
  <si>
    <t>4411.13.99</t>
  </si>
  <si>
    <t>4411.14.90</t>
  </si>
  <si>
    <t>4412.99.00</t>
  </si>
  <si>
    <t>4413.00.00</t>
  </si>
  <si>
    <t>4415.10.00</t>
  </si>
  <si>
    <t>4415.20.00</t>
  </si>
  <si>
    <t>4417.00.90</t>
  </si>
  <si>
    <t>4418.21.00</t>
  </si>
  <si>
    <t>4419.19.00</t>
  </si>
  <si>
    <t>4421.90.00</t>
  </si>
  <si>
    <t>4421.99.00</t>
  </si>
  <si>
    <t>4504.90.00</t>
  </si>
  <si>
    <t>4802.56.10</t>
  </si>
  <si>
    <t>4802.56.99</t>
  </si>
  <si>
    <t>4802.57.99</t>
  </si>
  <si>
    <t>4803.00.90</t>
  </si>
  <si>
    <t>4805.40.90</t>
  </si>
  <si>
    <t>4809.90.00</t>
  </si>
  <si>
    <t>4810.14.90</t>
  </si>
  <si>
    <t>4811.41.10</t>
  </si>
  <si>
    <t>4811.41.90</t>
  </si>
  <si>
    <t>4811.51.29</t>
  </si>
  <si>
    <t>4811.90.90</t>
  </si>
  <si>
    <t>4817.10.00</t>
  </si>
  <si>
    <t>4818.10.00</t>
  </si>
  <si>
    <t>4818.20.00</t>
  </si>
  <si>
    <t>4818.30.00</t>
  </si>
  <si>
    <t>4818.90.90</t>
  </si>
  <si>
    <t>4819.10.00</t>
  </si>
  <si>
    <t>4819.40.00</t>
  </si>
  <si>
    <t>4819.50.00</t>
  </si>
  <si>
    <t>4820.10.00</t>
  </si>
  <si>
    <t>4820.20.00</t>
  </si>
  <si>
    <t>4820.30.00</t>
  </si>
  <si>
    <t>4820.40.00</t>
  </si>
  <si>
    <t>4820.90.00</t>
  </si>
  <si>
    <t>4821.10.00</t>
  </si>
  <si>
    <t>4821.90.00</t>
  </si>
  <si>
    <t>4823.20.99</t>
  </si>
  <si>
    <t>4823.40.00</t>
  </si>
  <si>
    <t>4823.90.99</t>
  </si>
  <si>
    <t>4901.99.00</t>
  </si>
  <si>
    <t>4902.90.00</t>
  </si>
  <si>
    <t>4907.00.90</t>
  </si>
  <si>
    <t>4908.90.00</t>
  </si>
  <si>
    <t>4909.00.00</t>
  </si>
  <si>
    <t>4911.10.90</t>
  </si>
  <si>
    <t>4911.99.00</t>
  </si>
  <si>
    <t>5204.19.40</t>
  </si>
  <si>
    <t>5204.20.00</t>
  </si>
  <si>
    <t>5205.31.00</t>
  </si>
  <si>
    <t>5208.22.00</t>
  </si>
  <si>
    <t>5208.32.00</t>
  </si>
  <si>
    <t>5211.32.00</t>
  </si>
  <si>
    <t>5301.30.00</t>
  </si>
  <si>
    <t>5402.34.00</t>
  </si>
  <si>
    <t>5407.10.19</t>
  </si>
  <si>
    <t>5407.42.00</t>
  </si>
  <si>
    <t>5407.61.00</t>
  </si>
  <si>
    <t>5512.19.00</t>
  </si>
  <si>
    <t>5515.91.00</t>
  </si>
  <si>
    <t>5601.21.10</t>
  </si>
  <si>
    <t>5601.21.90</t>
  </si>
  <si>
    <t>5603.11.90</t>
  </si>
  <si>
    <t>5603.12.90</t>
  </si>
  <si>
    <t>5603.13.30</t>
  </si>
  <si>
    <t>5603.14.30</t>
  </si>
  <si>
    <t>5603.94.10</t>
  </si>
  <si>
    <t>5607.49.00</t>
  </si>
  <si>
    <t>5607.50.90</t>
  </si>
  <si>
    <t>5609.00.90</t>
  </si>
  <si>
    <t>5702.92.00</t>
  </si>
  <si>
    <t>5703.39.00</t>
  </si>
  <si>
    <t>5806.32.00</t>
  </si>
  <si>
    <t>5807.10.00</t>
  </si>
  <si>
    <t>5810.92.00</t>
  </si>
  <si>
    <t>5903.20.00</t>
  </si>
  <si>
    <t>5906.10.00</t>
  </si>
  <si>
    <t>5909.00.00</t>
  </si>
  <si>
    <t>5910.00.00</t>
  </si>
  <si>
    <t>5911.20.90</t>
  </si>
  <si>
    <t>5911.40.00</t>
  </si>
  <si>
    <t>5911.90.00</t>
  </si>
  <si>
    <t>6001.10.20</t>
  </si>
  <si>
    <t>6101.30.00</t>
  </si>
  <si>
    <t>6103.49.00</t>
  </si>
  <si>
    <t>6105.90.00</t>
  </si>
  <si>
    <t>6109.10.00</t>
  </si>
  <si>
    <t>6109.90.00</t>
  </si>
  <si>
    <t>6116.10.00</t>
  </si>
  <si>
    <t>6116.91.00</t>
  </si>
  <si>
    <t>6116.92.00</t>
  </si>
  <si>
    <t>6201.12.00</t>
  </si>
  <si>
    <t>6202.90.00</t>
  </si>
  <si>
    <t>6203.22.00</t>
  </si>
  <si>
    <t>6203.42.00</t>
  </si>
  <si>
    <t>6205.20.00</t>
  </si>
  <si>
    <t>6205.30.00</t>
  </si>
  <si>
    <t>6205.90.90</t>
  </si>
  <si>
    <t>6206.30.00</t>
  </si>
  <si>
    <t>6206.90.00</t>
  </si>
  <si>
    <t>6210.10.00</t>
  </si>
  <si>
    <t>6210.20.00</t>
  </si>
  <si>
    <t>6210.40.00</t>
  </si>
  <si>
    <t>6212.90.00</t>
  </si>
  <si>
    <t>6217.90.00</t>
  </si>
  <si>
    <t>6305.32.00</t>
  </si>
  <si>
    <t>6305.33.10</t>
  </si>
  <si>
    <t>6305.33.90</t>
  </si>
  <si>
    <t>6306.12.00</t>
  </si>
  <si>
    <t>6306.19.90</t>
  </si>
  <si>
    <t>6306.22.00</t>
  </si>
  <si>
    <t>6307.10.00</t>
  </si>
  <si>
    <t>6307.20.00</t>
  </si>
  <si>
    <t>6307.90.10</t>
  </si>
  <si>
    <t>6307.90.90</t>
  </si>
  <si>
    <t>6310.90.00</t>
  </si>
  <si>
    <t>6401.10.00</t>
  </si>
  <si>
    <t>6401.92.00</t>
  </si>
  <si>
    <t>6402.91.90</t>
  </si>
  <si>
    <t>6403.40.00</t>
  </si>
  <si>
    <t>6403.91.90</t>
  </si>
  <si>
    <t>6403.99.90</t>
  </si>
  <si>
    <t>6405.10.10</t>
  </si>
  <si>
    <t>6405.90.00</t>
  </si>
  <si>
    <t>6406.90.20</t>
  </si>
  <si>
    <t>6505.00.90</t>
  </si>
  <si>
    <t>6506.10.00</t>
  </si>
  <si>
    <t>6506.99.00</t>
  </si>
  <si>
    <t>6507.00.00</t>
  </si>
  <si>
    <t>6601.91.10</t>
  </si>
  <si>
    <t>6601.91.90</t>
  </si>
  <si>
    <t>6804.21.19</t>
  </si>
  <si>
    <t>6804.22.11</t>
  </si>
  <si>
    <t>6804.22.19</t>
  </si>
  <si>
    <t>6805.10.00</t>
  </si>
  <si>
    <t>6805.20.00</t>
  </si>
  <si>
    <t>6805.30.20</t>
  </si>
  <si>
    <t>6805.30.90</t>
  </si>
  <si>
    <t>6806.10.00</t>
  </si>
  <si>
    <t>6806.20.00</t>
  </si>
  <si>
    <t>6806.90.10</t>
  </si>
  <si>
    <t>6806.90.90</t>
  </si>
  <si>
    <t>6807.10.00</t>
  </si>
  <si>
    <t>6810.11.00</t>
  </si>
  <si>
    <t>6810.91.00</t>
  </si>
  <si>
    <t>6811.82.00</t>
  </si>
  <si>
    <t>6812.99.10</t>
  </si>
  <si>
    <t>6813.81.90</t>
  </si>
  <si>
    <t>6814.10.00</t>
  </si>
  <si>
    <t>6814.90.00</t>
  </si>
  <si>
    <t>6815.12.00</t>
  </si>
  <si>
    <t>6815.13.00</t>
  </si>
  <si>
    <t>6815.99.90</t>
  </si>
  <si>
    <t>6902.20.99</t>
  </si>
  <si>
    <t>6903.20.10</t>
  </si>
  <si>
    <t>6903.20.90</t>
  </si>
  <si>
    <t>6904.10.00</t>
  </si>
  <si>
    <t>6909.11.00</t>
  </si>
  <si>
    <t>6909.12.30</t>
  </si>
  <si>
    <t>6909.19.90</t>
  </si>
  <si>
    <t>6909.90.00</t>
  </si>
  <si>
    <t>6910.90.00</t>
  </si>
  <si>
    <t>7003.20.00</t>
  </si>
  <si>
    <t>7005.29.00</t>
  </si>
  <si>
    <t>7007.19.00</t>
  </si>
  <si>
    <t>7010.20.00</t>
  </si>
  <si>
    <t>7010.90.11</t>
  </si>
  <si>
    <t>7010.90.22</t>
  </si>
  <si>
    <t>7010.90.90</t>
  </si>
  <si>
    <t>7017.10.00</t>
  </si>
  <si>
    <t>7017.20.00</t>
  </si>
  <si>
    <t>7017.90.00</t>
  </si>
  <si>
    <t>7019.12.10</t>
  </si>
  <si>
    <t>7019.12.90</t>
  </si>
  <si>
    <t>7019.59.00</t>
  </si>
  <si>
    <t>7019.64.00</t>
  </si>
  <si>
    <t>7019.69.00</t>
  </si>
  <si>
    <t>7019.80.00</t>
  </si>
  <si>
    <t>7019.90.00</t>
  </si>
  <si>
    <t>7020.00.90</t>
  </si>
  <si>
    <t>7204.10.00</t>
  </si>
  <si>
    <t>7207.11.90</t>
  </si>
  <si>
    <t>7208.37.00</t>
  </si>
  <si>
    <t>7208.40.00</t>
  </si>
  <si>
    <t>7208.51.00</t>
  </si>
  <si>
    <t>7208.52.00</t>
  </si>
  <si>
    <t>7208.53.00</t>
  </si>
  <si>
    <t>7208.54.00</t>
  </si>
  <si>
    <t>7208.90.00</t>
  </si>
  <si>
    <t>7209.25.00</t>
  </si>
  <si>
    <t>7209.26.00</t>
  </si>
  <si>
    <t>7209.90.00</t>
  </si>
  <si>
    <t>7210.30.10</t>
  </si>
  <si>
    <t>7210.30.90</t>
  </si>
  <si>
    <t>7210.49.90</t>
  </si>
  <si>
    <t>7212.30.00</t>
  </si>
  <si>
    <t>7212.40.10</t>
  </si>
  <si>
    <t>7213.10.00</t>
  </si>
  <si>
    <t>7214.20.00</t>
  </si>
  <si>
    <t>7214.91.00</t>
  </si>
  <si>
    <t>7214.99.10</t>
  </si>
  <si>
    <t>7214.99.90</t>
  </si>
  <si>
    <t>7215.50.00</t>
  </si>
  <si>
    <t>7215.90.90</t>
  </si>
  <si>
    <t>7216.10.00</t>
  </si>
  <si>
    <t>7216.21.00</t>
  </si>
  <si>
    <t>7216.31.00</t>
  </si>
  <si>
    <t>7216.32.00</t>
  </si>
  <si>
    <t>7216.33.00</t>
  </si>
  <si>
    <t>7216.40.10</t>
  </si>
  <si>
    <t>7216.61.10</t>
  </si>
  <si>
    <t>7216.91.00</t>
  </si>
  <si>
    <t>7217.10.90</t>
  </si>
  <si>
    <t>7217.20.90</t>
  </si>
  <si>
    <t>7217.30.90</t>
  </si>
  <si>
    <t>7218.99.00</t>
  </si>
  <si>
    <t>7219.12.00</t>
  </si>
  <si>
    <t>7219.13.00</t>
  </si>
  <si>
    <t>7219.21.00</t>
  </si>
  <si>
    <t>7219.22.00</t>
  </si>
  <si>
    <t>7219.23.00</t>
  </si>
  <si>
    <t>7219.24.00</t>
  </si>
  <si>
    <t>7219.33.00</t>
  </si>
  <si>
    <t>7219.34.00</t>
  </si>
  <si>
    <t>7220.11.00</t>
  </si>
  <si>
    <t>7220.12.90</t>
  </si>
  <si>
    <t>7222.11.00</t>
  </si>
  <si>
    <t>7222.19.10</t>
  </si>
  <si>
    <t>7222.19.90</t>
  </si>
  <si>
    <t>7222.20.00</t>
  </si>
  <si>
    <t>7222.40.90</t>
  </si>
  <si>
    <t>7223.00.00</t>
  </si>
  <si>
    <t>7226.19.00</t>
  </si>
  <si>
    <t>7228.30.00</t>
  </si>
  <si>
    <t>7229.20.00</t>
  </si>
  <si>
    <t>7304.11.00</t>
  </si>
  <si>
    <t>7304.19.00</t>
  </si>
  <si>
    <t>7304.24.00</t>
  </si>
  <si>
    <t>7304.31.10</t>
  </si>
  <si>
    <t>7304.39.10</t>
  </si>
  <si>
    <t>7304.39.20</t>
  </si>
  <si>
    <t>7304.41.10</t>
  </si>
  <si>
    <t>7304.41.90</t>
  </si>
  <si>
    <t>7304.49.00</t>
  </si>
  <si>
    <t>7304.59.10</t>
  </si>
  <si>
    <t>7306.19.00</t>
  </si>
  <si>
    <t>7306.29.00</t>
  </si>
  <si>
    <t>7306.30.00</t>
  </si>
  <si>
    <t>7306.40.00</t>
  </si>
  <si>
    <t>7306.61.00</t>
  </si>
  <si>
    <t>7306.90.10</t>
  </si>
  <si>
    <t>7306.90.90</t>
  </si>
  <si>
    <t>7307.11.00</t>
  </si>
  <si>
    <t>7307.19.10</t>
  </si>
  <si>
    <t>7307.19.20</t>
  </si>
  <si>
    <t>7307.19.90</t>
  </si>
  <si>
    <t>7307.21.00</t>
  </si>
  <si>
    <t>7307.22.00</t>
  </si>
  <si>
    <t>7307.23.00</t>
  </si>
  <si>
    <t>7307.29.00</t>
  </si>
  <si>
    <t>7307.91.00</t>
  </si>
  <si>
    <t>7307.92.00</t>
  </si>
  <si>
    <t>7307.93.00</t>
  </si>
  <si>
    <t>7307.99.00</t>
  </si>
  <si>
    <t>7308.20.00</t>
  </si>
  <si>
    <t>7308.30.00</t>
  </si>
  <si>
    <t>7308.40.00</t>
  </si>
  <si>
    <t>7308.90.10</t>
  </si>
  <si>
    <t>7308.90.90</t>
  </si>
  <si>
    <t>7309.00.90</t>
  </si>
  <si>
    <t>7310.10.90</t>
  </si>
  <si>
    <t>7310.21.10</t>
  </si>
  <si>
    <t>7310.21.90</t>
  </si>
  <si>
    <t>7310.29.90</t>
  </si>
  <si>
    <t>7311.00.00</t>
  </si>
  <si>
    <t>7312.10.90</t>
  </si>
  <si>
    <t>7314.20.00</t>
  </si>
  <si>
    <t>7314.31.00</t>
  </si>
  <si>
    <t>7314.41.00</t>
  </si>
  <si>
    <t>7315.12.10</t>
  </si>
  <si>
    <t>7315.82.00</t>
  </si>
  <si>
    <t>7315.89.00</t>
  </si>
  <si>
    <t>7315.90.00</t>
  </si>
  <si>
    <t>7317.00.20</t>
  </si>
  <si>
    <t>7317.00.90</t>
  </si>
  <si>
    <t>7318.11.00</t>
  </si>
  <si>
    <t>7318.12.00</t>
  </si>
  <si>
    <t>7318.13.00</t>
  </si>
  <si>
    <t>7318.14.00</t>
  </si>
  <si>
    <t>7318.15.00</t>
  </si>
  <si>
    <t>7318.16.00</t>
  </si>
  <si>
    <t>7318.19.00</t>
  </si>
  <si>
    <t>7318.21.00</t>
  </si>
  <si>
    <t>7318.22.00</t>
  </si>
  <si>
    <t>7318.23.00</t>
  </si>
  <si>
    <t>7318.24.00</t>
  </si>
  <si>
    <t>7318.29.00</t>
  </si>
  <si>
    <t>7320.10.00</t>
  </si>
  <si>
    <t>7320.20.10</t>
  </si>
  <si>
    <t>7320.20.90</t>
  </si>
  <si>
    <t>7320.90.00</t>
  </si>
  <si>
    <t>7323.93.00</t>
  </si>
  <si>
    <t>7324.90.00</t>
  </si>
  <si>
    <t>7325.10.00</t>
  </si>
  <si>
    <t>7326.19.00</t>
  </si>
  <si>
    <t>7326.20.00</t>
  </si>
  <si>
    <t>7326.90.90</t>
  </si>
  <si>
    <t>7407.10.10</t>
  </si>
  <si>
    <t>7407.29.10</t>
  </si>
  <si>
    <t>7407.29.29</t>
  </si>
  <si>
    <t>7408.19.00</t>
  </si>
  <si>
    <t>7408.21.00</t>
  </si>
  <si>
    <t>7408.29.90</t>
  </si>
  <si>
    <t>7409.19.00</t>
  </si>
  <si>
    <t>7409.29.00</t>
  </si>
  <si>
    <t>7410.12.00</t>
  </si>
  <si>
    <t>7411.10.10</t>
  </si>
  <si>
    <t>7411.10.90</t>
  </si>
  <si>
    <t>7411.21.10</t>
  </si>
  <si>
    <t>7411.29.90</t>
  </si>
  <si>
    <t>7412.10.00</t>
  </si>
  <si>
    <t>7412.20.00</t>
  </si>
  <si>
    <t>7413.00.00</t>
  </si>
  <si>
    <t>7415.33.00</t>
  </si>
  <si>
    <t>7415.39.00</t>
  </si>
  <si>
    <t>7505.12.10</t>
  </si>
  <si>
    <t>7505.12.29</t>
  </si>
  <si>
    <t>7508.90.90</t>
  </si>
  <si>
    <t>7604.10.10</t>
  </si>
  <si>
    <t>7604.10.21</t>
  </si>
  <si>
    <t>7604.29.19</t>
  </si>
  <si>
    <t>7604.29.20</t>
  </si>
  <si>
    <t>7606.11.90</t>
  </si>
  <si>
    <t>7606.12.90</t>
  </si>
  <si>
    <t>7607.11.10</t>
  </si>
  <si>
    <t>7607.11.90</t>
  </si>
  <si>
    <t>7607.19.90</t>
  </si>
  <si>
    <t>7609.00.00</t>
  </si>
  <si>
    <t>7610.90.00</t>
  </si>
  <si>
    <t>7612.90.90</t>
  </si>
  <si>
    <t>7613.00.00</t>
  </si>
  <si>
    <t>7616.10.00</t>
  </si>
  <si>
    <t>7616.99.00</t>
  </si>
  <si>
    <t>7806.00.90</t>
  </si>
  <si>
    <t>7905.00.00</t>
  </si>
  <si>
    <t>7907.00.10</t>
  </si>
  <si>
    <t>7907.00.90</t>
  </si>
  <si>
    <t>8101.96.00</t>
  </si>
  <si>
    <t>8101.99.90</t>
  </si>
  <si>
    <t>8112.61.00</t>
  </si>
  <si>
    <t>8201.10.00</t>
  </si>
  <si>
    <t>8201.30.00</t>
  </si>
  <si>
    <t>8202.10.00</t>
  </si>
  <si>
    <t>8202.20.00</t>
  </si>
  <si>
    <t>8202.31.00</t>
  </si>
  <si>
    <t>8202.39.00</t>
  </si>
  <si>
    <t>8202.91.00</t>
  </si>
  <si>
    <t>8202.99.90</t>
  </si>
  <si>
    <t>8203.10.10</t>
  </si>
  <si>
    <t>8203.20.10</t>
  </si>
  <si>
    <t>8203.20.90</t>
  </si>
  <si>
    <t>8204.11.00</t>
  </si>
  <si>
    <t>8204.12.00</t>
  </si>
  <si>
    <t>8204.20.00</t>
  </si>
  <si>
    <t>8205.20.00</t>
  </si>
  <si>
    <t>8205.40.00</t>
  </si>
  <si>
    <t>8205.51.00</t>
  </si>
  <si>
    <t>8205.59.00</t>
  </si>
  <si>
    <t>8205.70.00</t>
  </si>
  <si>
    <t>8206.00.00</t>
  </si>
  <si>
    <t>8207.40.10</t>
  </si>
  <si>
    <t>8207.40.20</t>
  </si>
  <si>
    <t>8207.50.11</t>
  </si>
  <si>
    <t>8207.50.19</t>
  </si>
  <si>
    <t>8207.90.00</t>
  </si>
  <si>
    <t>8208.90.00</t>
  </si>
  <si>
    <t>8209.00.11</t>
  </si>
  <si>
    <t>8211.92.90</t>
  </si>
  <si>
    <t>8211.93.90</t>
  </si>
  <si>
    <t>8213.00.00</t>
  </si>
  <si>
    <t>8214.10.00</t>
  </si>
  <si>
    <t>8215.99.10</t>
  </si>
  <si>
    <t>8301.10.00</t>
  </si>
  <si>
    <t>8301.40.00</t>
  </si>
  <si>
    <t>8301.50.00</t>
  </si>
  <si>
    <t>8301.60.00</t>
  </si>
  <si>
    <t>8302.10.00</t>
  </si>
  <si>
    <t>8302.20.00</t>
  </si>
  <si>
    <t>8302.41.00</t>
  </si>
  <si>
    <t>8302.60.00</t>
  </si>
  <si>
    <t>8303.00.00</t>
  </si>
  <si>
    <t>8304.00.00</t>
  </si>
  <si>
    <t>8305.20.00</t>
  </si>
  <si>
    <t>8305.90.00</t>
  </si>
  <si>
    <t>8306.10.00</t>
  </si>
  <si>
    <t>8306.21.00</t>
  </si>
  <si>
    <t>8307.10.90</t>
  </si>
  <si>
    <t>8307.90.00</t>
  </si>
  <si>
    <t>8308.20.00</t>
  </si>
  <si>
    <t>8309.90.00</t>
  </si>
  <si>
    <t>8310.00.00</t>
  </si>
  <si>
    <t>8311.10.00</t>
  </si>
  <si>
    <t>8402.11.00</t>
  </si>
  <si>
    <t>8402.90.00</t>
  </si>
  <si>
    <t>8404.10.10</t>
  </si>
  <si>
    <t>8404.90.10</t>
  </si>
  <si>
    <t>8406.90.11</t>
  </si>
  <si>
    <t>8406.90.90</t>
  </si>
  <si>
    <t>8408.90.90</t>
  </si>
  <si>
    <t>8409.99.99</t>
  </si>
  <si>
    <t>8412.21.10</t>
  </si>
  <si>
    <t>8412.31.10</t>
  </si>
  <si>
    <t>8412.39.00</t>
  </si>
  <si>
    <t>8412.90.80</t>
  </si>
  <si>
    <t>8412.90.90</t>
  </si>
  <si>
    <t>8413.19.00</t>
  </si>
  <si>
    <t>8413.20.00</t>
  </si>
  <si>
    <t>8413.30.10</t>
  </si>
  <si>
    <t>8413.30.20</t>
  </si>
  <si>
    <t>8413.30.30</t>
  </si>
  <si>
    <t>8413.50.90</t>
  </si>
  <si>
    <t>8413.60.11</t>
  </si>
  <si>
    <t>8413.60.90</t>
  </si>
  <si>
    <t>8413.70.10</t>
  </si>
  <si>
    <t>8413.70.80</t>
  </si>
  <si>
    <t>8413.70.90</t>
  </si>
  <si>
    <t>8413.81.00</t>
  </si>
  <si>
    <t>8413.82.00</t>
  </si>
  <si>
    <t>8413.91.90</t>
  </si>
  <si>
    <t>8414.10.00</t>
  </si>
  <si>
    <t>8414.30.19</t>
  </si>
  <si>
    <t>8414.30.99</t>
  </si>
  <si>
    <t>8414.40.90</t>
  </si>
  <si>
    <t>8414.51.90</t>
  </si>
  <si>
    <t>8414.59.90</t>
  </si>
  <si>
    <t>8414.80.11</t>
  </si>
  <si>
    <t>8414.80.13</t>
  </si>
  <si>
    <t>8414.80.19</t>
  </si>
  <si>
    <t>8414.80.31</t>
  </si>
  <si>
    <t>8414.80.32</t>
  </si>
  <si>
    <t>8414.80.90</t>
  </si>
  <si>
    <t>8414.90.10</t>
  </si>
  <si>
    <t>8414.90.20</t>
  </si>
  <si>
    <t>8414.90.31</t>
  </si>
  <si>
    <t>8414.90.32</t>
  </si>
  <si>
    <t>8414.90.33</t>
  </si>
  <si>
    <t>8414.90.34</t>
  </si>
  <si>
    <t>8414.90.39</t>
  </si>
  <si>
    <t>8415.10.11</t>
  </si>
  <si>
    <t>8415.10.19</t>
  </si>
  <si>
    <t>8415.82.10</t>
  </si>
  <si>
    <t>8415.90.10</t>
  </si>
  <si>
    <t>8415.90.20</t>
  </si>
  <si>
    <t>8415.90.90</t>
  </si>
  <si>
    <t>8416.20.90</t>
  </si>
  <si>
    <t>8416.90.00</t>
  </si>
  <si>
    <t>8417.90.00</t>
  </si>
  <si>
    <t>8418.40.00</t>
  </si>
  <si>
    <t>8418.99.00</t>
  </si>
  <si>
    <t>8419.40.20</t>
  </si>
  <si>
    <t>8419.40.90</t>
  </si>
  <si>
    <t>8419.50.10</t>
  </si>
  <si>
    <t>8419.50.21</t>
  </si>
  <si>
    <t>8419.50.90</t>
  </si>
  <si>
    <t>8419.60.00</t>
  </si>
  <si>
    <t>8419.81.10</t>
  </si>
  <si>
    <t>8419.81.90</t>
  </si>
  <si>
    <t>8419.89.20</t>
  </si>
  <si>
    <t>8419.89.91</t>
  </si>
  <si>
    <t>8419.89.99</t>
  </si>
  <si>
    <t>8419.90.20</t>
  </si>
  <si>
    <t>8419.90.31</t>
  </si>
  <si>
    <t>8419.90.39</t>
  </si>
  <si>
    <t>8419.90.40</t>
  </si>
  <si>
    <t>8419.90.90</t>
  </si>
  <si>
    <t>8421.19.10</t>
  </si>
  <si>
    <t>8421.21.00</t>
  </si>
  <si>
    <t>8421.23.00</t>
  </si>
  <si>
    <t>8421.29.20</t>
  </si>
  <si>
    <t>8421.29.30</t>
  </si>
  <si>
    <t>8421.29.90</t>
  </si>
  <si>
    <t>8421.31.00</t>
  </si>
  <si>
    <t>8421.39.10</t>
  </si>
  <si>
    <t>8421.39.90</t>
  </si>
  <si>
    <t>8421.91.10</t>
  </si>
  <si>
    <t>8421.91.99</t>
  </si>
  <si>
    <t>8421.99.10</t>
  </si>
  <si>
    <t>8421.99.91</t>
  </si>
  <si>
    <t>8421.99.99</t>
  </si>
  <si>
    <t>8422.20.00</t>
  </si>
  <si>
    <t>8422.30.21</t>
  </si>
  <si>
    <t>8422.40.90</t>
  </si>
  <si>
    <t>8422.90.90</t>
  </si>
  <si>
    <t>8423.30.11</t>
  </si>
  <si>
    <t>8423.81.90</t>
  </si>
  <si>
    <t>8423.82.00</t>
  </si>
  <si>
    <t>8423.90.10</t>
  </si>
  <si>
    <t>8423.90.29</t>
  </si>
  <si>
    <t>8424.10.00</t>
  </si>
  <si>
    <t>8424.30.10</t>
  </si>
  <si>
    <t>8424.30.90</t>
  </si>
  <si>
    <t>8424.41.00</t>
  </si>
  <si>
    <t>8424.49.00</t>
  </si>
  <si>
    <t>8424.82.29</t>
  </si>
  <si>
    <t>8424.89.10</t>
  </si>
  <si>
    <t>8424.89.20</t>
  </si>
  <si>
    <t>8424.89.90</t>
  </si>
  <si>
    <t>8424.90.10</t>
  </si>
  <si>
    <t>8424.90.90</t>
  </si>
  <si>
    <t>8425.11.00</t>
  </si>
  <si>
    <t>8425.19.10</t>
  </si>
  <si>
    <t>8425.19.90</t>
  </si>
  <si>
    <t>8425.39.10</t>
  </si>
  <si>
    <t>8425.39.90</t>
  </si>
  <si>
    <t>8425.42.00</t>
  </si>
  <si>
    <t>8425.49.90</t>
  </si>
  <si>
    <t>8427.10.11</t>
  </si>
  <si>
    <t>8427.10.19</t>
  </si>
  <si>
    <t>8427.10.90</t>
  </si>
  <si>
    <t>8427.20.90</t>
  </si>
  <si>
    <t>8427.90.00</t>
  </si>
  <si>
    <t>8428.39.90</t>
  </si>
  <si>
    <t>8428.90.90</t>
  </si>
  <si>
    <t>8429.52.20</t>
  </si>
  <si>
    <t>8431.10.10</t>
  </si>
  <si>
    <t>8431.20.11</t>
  </si>
  <si>
    <t>8431.20.19</t>
  </si>
  <si>
    <t>8431.31.10</t>
  </si>
  <si>
    <t>8431.31.90</t>
  </si>
  <si>
    <t>8431.39.00</t>
  </si>
  <si>
    <t>8431.49.23</t>
  </si>
  <si>
    <t>8436.80.00</t>
  </si>
  <si>
    <t>8437.10.00</t>
  </si>
  <si>
    <t>8443.31.11</t>
  </si>
  <si>
    <t>8443.31.13</t>
  </si>
  <si>
    <t>8443.31.15</t>
  </si>
  <si>
    <t>8443.31.99</t>
  </si>
  <si>
    <t>8443.32.32</t>
  </si>
  <si>
    <t>8443.32.33</t>
  </si>
  <si>
    <t>8443.32.36</t>
  </si>
  <si>
    <t>8443.32.39</t>
  </si>
  <si>
    <t>8443.32.40</t>
  </si>
  <si>
    <t>8443.32.99</t>
  </si>
  <si>
    <t>8443.39.90</t>
  </si>
  <si>
    <t>8443.91.99</t>
  </si>
  <si>
    <t>8443.99.22</t>
  </si>
  <si>
    <t>8443.99.23</t>
  </si>
  <si>
    <t>8443.99.29</t>
  </si>
  <si>
    <t>8443.99.33</t>
  </si>
  <si>
    <t>8443.99.39</t>
  </si>
  <si>
    <t>8443.99.42</t>
  </si>
  <si>
    <t>8443.99.60</t>
  </si>
  <si>
    <t>8443.99.70</t>
  </si>
  <si>
    <t>8443.99.80</t>
  </si>
  <si>
    <t>8443.99.90</t>
  </si>
  <si>
    <t>8454.10.00</t>
  </si>
  <si>
    <t>8456.20.90</t>
  </si>
  <si>
    <t>8460.90.12</t>
  </si>
  <si>
    <t>8460.90.90</t>
  </si>
  <si>
    <t>8461.50.90</t>
  </si>
  <si>
    <t>8465.20.00</t>
  </si>
  <si>
    <t>8465.93.10</t>
  </si>
  <si>
    <t>8465.94.00</t>
  </si>
  <si>
    <t>8466.10.00</t>
  </si>
  <si>
    <t>8466.92.00</t>
  </si>
  <si>
    <t>8466.93.30</t>
  </si>
  <si>
    <t>8466.94.90</t>
  </si>
  <si>
    <t>8467.11.90</t>
  </si>
  <si>
    <t>8467.22.00</t>
  </si>
  <si>
    <t>8467.29.92</t>
  </si>
  <si>
    <t>8467.29.93</t>
  </si>
  <si>
    <t>8467.29.99</t>
  </si>
  <si>
    <t>8467.89.00</t>
  </si>
  <si>
    <t>8467.92.00</t>
  </si>
  <si>
    <t>8467.99.00</t>
  </si>
  <si>
    <t>8468.90.10</t>
  </si>
  <si>
    <t>8470.10.00</t>
  </si>
  <si>
    <t>8471.30.12</t>
  </si>
  <si>
    <t>8471.30.19</t>
  </si>
  <si>
    <t>8471.49.00</t>
  </si>
  <si>
    <t>8471.50.10</t>
  </si>
  <si>
    <t>8471.50.90</t>
  </si>
  <si>
    <t>8471.60.52</t>
  </si>
  <si>
    <t>8471.70.10</t>
  </si>
  <si>
    <t>8471.70.40</t>
  </si>
  <si>
    <t>8471.90.11</t>
  </si>
  <si>
    <t>8471.90.14</t>
  </si>
  <si>
    <t>8471.90.19</t>
  </si>
  <si>
    <t>8472.90.40</t>
  </si>
  <si>
    <t>8472.90.99</t>
  </si>
  <si>
    <t>8473.30.11</t>
  </si>
  <si>
    <t>8473.30.19</t>
  </si>
  <si>
    <t>8473.30.42</t>
  </si>
  <si>
    <t>8473.30.49</t>
  </si>
  <si>
    <t>8473.30.90</t>
  </si>
  <si>
    <t>8474.10.00</t>
  </si>
  <si>
    <t>8474.90.00</t>
  </si>
  <si>
    <t>8476.81.00</t>
  </si>
  <si>
    <t>8479.10.90</t>
  </si>
  <si>
    <t>8479.50.00</t>
  </si>
  <si>
    <t>8479.82.10</t>
  </si>
  <si>
    <t>8479.82.90</t>
  </si>
  <si>
    <t>8479.89.12</t>
  </si>
  <si>
    <t>8479.89.99</t>
  </si>
  <si>
    <t>8479.90.90</t>
  </si>
  <si>
    <t>8481.10.00</t>
  </si>
  <si>
    <t>8481.20.90</t>
  </si>
  <si>
    <t>8481.30.00</t>
  </si>
  <si>
    <t>8481.40.00</t>
  </si>
  <si>
    <t>8481.80.11</t>
  </si>
  <si>
    <t>8481.80.19</t>
  </si>
  <si>
    <t>8481.80.21</t>
  </si>
  <si>
    <t>8481.80.29</t>
  </si>
  <si>
    <t>8481.80.39</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</si>
  <si>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</si>
  <si>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</si>
  <si>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</si>
  <si>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</si>
  <si>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</si>
  <si>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</si>
  <si>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</si>
  <si>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</si>
  <si>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</si>
  <si>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</si>
  <si>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</si>
  <si>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</si>
  <si>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</si>
  <si>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</si>
  <si>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</si>
  <si>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</si>
  <si>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</si>
  <si>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</si>
  <si>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8482.91.19</t>
  </si>
  <si>
    <t>8482.99.10</t>
  </si>
  <si>
    <t>8482.99.90</t>
  </si>
  <si>
    <t>8483.10.19</t>
  </si>
  <si>
    <t>8483.10.90</t>
  </si>
  <si>
    <t>8483.20.00</t>
  </si>
  <si>
    <t>8483.30.10</t>
  </si>
  <si>
    <t>8483.30.29</t>
  </si>
  <si>
    <t>8483.30.90</t>
  </si>
  <si>
    <t>8483.40.10</t>
  </si>
  <si>
    <t>8483.40.90</t>
  </si>
  <si>
    <t>8483.50.90</t>
  </si>
  <si>
    <t>8483.60.11</t>
  </si>
  <si>
    <t>8483.60.90</t>
  </si>
  <si>
    <t>8483.90.00</t>
  </si>
  <si>
    <t>8484.10.00</t>
  </si>
  <si>
    <t>8484.20.00</t>
  </si>
  <si>
    <t>8484.90.00</t>
  </si>
  <si>
    <t>8487.90.00</t>
  </si>
  <si>
    <t>8501.10.29</t>
  </si>
  <si>
    <t>8501.31.10</t>
  </si>
  <si>
    <t>8501.34.20</t>
  </si>
  <si>
    <t>8501.40.19</t>
  </si>
  <si>
    <t>8501.51.10</t>
  </si>
  <si>
    <t>8501.51.90</t>
  </si>
  <si>
    <t>8501.52.10</t>
  </si>
  <si>
    <t>8501.52.90</t>
  </si>
  <si>
    <t>8501.62.00</t>
  </si>
  <si>
    <t>8501.63.00</t>
  </si>
  <si>
    <t>8503.00.10</t>
  </si>
  <si>
    <t>8503.00.90</t>
  </si>
  <si>
    <t>8504.10.00</t>
  </si>
  <si>
    <t>8504.21.00</t>
  </si>
  <si>
    <t>8504.31.11</t>
  </si>
  <si>
    <t>8504.31.19</t>
  </si>
  <si>
    <t>8504.32.19</t>
  </si>
  <si>
    <t>8504.32.21</t>
  </si>
  <si>
    <t>8504.33.00</t>
  </si>
  <si>
    <t>8504.40.10</t>
  </si>
  <si>
    <t>8504.40.21</t>
  </si>
  <si>
    <t>8504.40.29</t>
  </si>
  <si>
    <t>8504.40.30</t>
  </si>
  <si>
    <t>8504.40.40</t>
  </si>
  <si>
    <t>8504.40.50</t>
  </si>
  <si>
    <t>8504.40.90</t>
  </si>
  <si>
    <t>8504.90.30</t>
  </si>
  <si>
    <t>8504.90.40</t>
  </si>
  <si>
    <t>8504.90.90</t>
  </si>
  <si>
    <t>8505.11.00</t>
  </si>
  <si>
    <t>8505.20.90</t>
  </si>
  <si>
    <t>8506.10.12</t>
  </si>
  <si>
    <t>8506.10.19</t>
  </si>
  <si>
    <t>8506.10.20</t>
  </si>
  <si>
    <t>8506.10.31</t>
  </si>
  <si>
    <t>8506.50.10</t>
  </si>
  <si>
    <t>8506.50.90</t>
  </si>
  <si>
    <t>8506.80.90</t>
  </si>
  <si>
    <t>8507.10.90</t>
  </si>
  <si>
    <t>8507.20.10</t>
  </si>
  <si>
    <t>8507.60.00</t>
  </si>
  <si>
    <t>8507.80.00</t>
  </si>
  <si>
    <t>8509.40.90</t>
  </si>
  <si>
    <t>8512.20.11</t>
  </si>
  <si>
    <t>8513.10.10</t>
  </si>
  <si>
    <t>8514.40.00</t>
  </si>
  <si>
    <t>8514.90.00</t>
  </si>
  <si>
    <t>8515.90.00</t>
  </si>
  <si>
    <t>8516.10.00</t>
  </si>
  <si>
    <t>8516.60.00</t>
  </si>
  <si>
    <t>8516.71.00</t>
  </si>
  <si>
    <t>8516.79.90</t>
  </si>
  <si>
    <t>8516.80.10</t>
  </si>
  <si>
    <t>8516.80.90</t>
  </si>
  <si>
    <t>8517.13.00</t>
  </si>
  <si>
    <t>8517.14.49</t>
  </si>
  <si>
    <t>8517.18.30</t>
  </si>
  <si>
    <t>8517.61.99</t>
  </si>
  <si>
    <t>8517.62.14</t>
  </si>
  <si>
    <t>8517.62.34</t>
  </si>
  <si>
    <t>8517.62.39</t>
  </si>
  <si>
    <t>8517.62.41</t>
  </si>
  <si>
    <t>8517.62.49</t>
  </si>
  <si>
    <t>8517.62.52</t>
  </si>
  <si>
    <t>8517.62.56</t>
  </si>
  <si>
    <t>8517.62.59</t>
  </si>
  <si>
    <t>8517.62.62</t>
  </si>
  <si>
    <t>8517.62.77</t>
  </si>
  <si>
    <t>8517.62.94</t>
  </si>
  <si>
    <t>8517.62.99</t>
  </si>
  <si>
    <t>8517.71.90</t>
  </si>
  <si>
    <t>8517.79.00</t>
  </si>
  <si>
    <t>8518.10.90</t>
  </si>
  <si>
    <t>8518.21.00</t>
  </si>
  <si>
    <t>8518.30.00</t>
  </si>
  <si>
    <t>8518.50.00</t>
  </si>
  <si>
    <t>8521.90.00</t>
  </si>
  <si>
    <t>8523.29.19</t>
  </si>
  <si>
    <t>8523.49.90</t>
  </si>
  <si>
    <t>8523.51.10</t>
  </si>
  <si>
    <t>8523.51.90</t>
  </si>
  <si>
    <t>8523.52.10</t>
  </si>
  <si>
    <t>8524.91.00</t>
  </si>
  <si>
    <t>8524.99.00</t>
  </si>
  <si>
    <t>8525.89.29</t>
  </si>
  <si>
    <t>8526.92.00</t>
  </si>
  <si>
    <t>8528.72.00</t>
  </si>
  <si>
    <t>8529.90.11</t>
  </si>
  <si>
    <t>8529.90.90</t>
  </si>
  <si>
    <t>8531.10.10</t>
  </si>
  <si>
    <t>8531.10.90</t>
  </si>
  <si>
    <t>8531.80.00</t>
  </si>
  <si>
    <t>8531.90.00</t>
  </si>
  <si>
    <t>8532.10.00</t>
  </si>
  <si>
    <t>8532.24.10</t>
  </si>
  <si>
    <t>8532.25.90</t>
  </si>
  <si>
    <t>8533.10.00</t>
  </si>
  <si>
    <t>8533.31.10</t>
  </si>
  <si>
    <t>8533.40.99</t>
  </si>
  <si>
    <t>8534.00.19</t>
  </si>
  <si>
    <t>8535.10.00</t>
  </si>
  <si>
    <t>8535.40.90</t>
  </si>
  <si>
    <t>8535.90.90</t>
  </si>
  <si>
    <t>8536.10.00</t>
  </si>
  <si>
    <t>8536.20.00</t>
  </si>
  <si>
    <t>8536.30.90</t>
  </si>
  <si>
    <t>8536.41.00</t>
  </si>
  <si>
    <t>8536.49.00</t>
  </si>
  <si>
    <t>8536.50.30</t>
  </si>
  <si>
    <t>8536.50.90</t>
  </si>
  <si>
    <t>8536.61.00</t>
  </si>
  <si>
    <t>8536.69.10</t>
  </si>
  <si>
    <t>8536.69.90</t>
  </si>
  <si>
    <t>8536.70.00</t>
  </si>
  <si>
    <t>8536.90.10</t>
  </si>
  <si>
    <t>8536.90.40</t>
  </si>
  <si>
    <t>8536.90.90</t>
  </si>
  <si>
    <t>8537.10.19</t>
  </si>
  <si>
    <t>8537.10.20</t>
  </si>
  <si>
    <t>8537.10.30</t>
  </si>
  <si>
    <t>8537.10.90</t>
  </si>
  <si>
    <t>8537.20.90</t>
  </si>
  <si>
    <t>8538.10.00</t>
  </si>
  <si>
    <t>8538.90.10</t>
  </si>
  <si>
    <t>8538.90.90</t>
  </si>
  <si>
    <t>8539.22.00</t>
  </si>
  <si>
    <t>8539.29.10</t>
  </si>
  <si>
    <t>8539.32.20</t>
  </si>
  <si>
    <t>8539.32.30</t>
  </si>
  <si>
    <t>8539.39.00</t>
  </si>
  <si>
    <t>8539.39.90</t>
  </si>
  <si>
    <t>8539.41.90</t>
  </si>
  <si>
    <t>8539.49.00</t>
  </si>
  <si>
    <t>8539.51.00</t>
  </si>
  <si>
    <t>8541.10.12</t>
  </si>
  <si>
    <t>8541.41.22</t>
  </si>
  <si>
    <t>8541.49.00</t>
  </si>
  <si>
    <t>8541.50.20</t>
  </si>
  <si>
    <t>8542.33.20</t>
  </si>
  <si>
    <t>8543.20.00</t>
  </si>
  <si>
    <t>8543.70.19</t>
  </si>
  <si>
    <t>8543.70.99</t>
  </si>
  <si>
    <t>8543.90.10</t>
  </si>
  <si>
    <t>8543.90.90</t>
  </si>
  <si>
    <t>8544.11.00</t>
  </si>
  <si>
    <t>8544.20.00</t>
  </si>
  <si>
    <t>8544.42.00</t>
  </si>
  <si>
    <t>8544.49.00</t>
  </si>
  <si>
    <t>8544.60.00</t>
  </si>
  <si>
    <t>8544.70.10</t>
  </si>
  <si>
    <t>8544.70.90</t>
  </si>
  <si>
    <t>8545.20.00</t>
  </si>
  <si>
    <t>8545.90.90</t>
  </si>
  <si>
    <t>8546.90.00</t>
  </si>
  <si>
    <t>8547.20.90</t>
  </si>
  <si>
    <t>8547.90.00</t>
  </si>
  <si>
    <t>8608.00.90</t>
  </si>
  <si>
    <t>8609.00.00</t>
  </si>
  <si>
    <t>8703.23.10</t>
  </si>
  <si>
    <t>8704.21.90</t>
  </si>
  <si>
    <t>8708.21.00</t>
  </si>
  <si>
    <t>8708.29.99</t>
  </si>
  <si>
    <t>8708.30.90</t>
  </si>
  <si>
    <t>8708.50.12</t>
  </si>
  <si>
    <t>8708.92.00</t>
  </si>
  <si>
    <t>8708.99.90</t>
  </si>
  <si>
    <t>8712.00.10</t>
  </si>
  <si>
    <t>8712.00.90</t>
  </si>
  <si>
    <t>8714.92.00</t>
  </si>
  <si>
    <t>8714.94.90</t>
  </si>
  <si>
    <t>8714.99.90</t>
  </si>
  <si>
    <t>8716.80.00</t>
  </si>
  <si>
    <t>8716.90.10</t>
  </si>
  <si>
    <t>8716.90.90</t>
  </si>
  <si>
    <t>8803.10.00</t>
  </si>
  <si>
    <t>8805.29.00</t>
  </si>
  <si>
    <t>8806.22.00</t>
  </si>
  <si>
    <t>8807.10.00</t>
  </si>
  <si>
    <t>8905.20.00</t>
  </si>
  <si>
    <t>9001.10.19</t>
  </si>
  <si>
    <t>9001.50.00</t>
  </si>
  <si>
    <t>9002.20.90</t>
  </si>
  <si>
    <t>9003.90.90</t>
  </si>
  <si>
    <t>9004.90.20</t>
  </si>
  <si>
    <t>9011.90.10</t>
  </si>
  <si>
    <t>9015.40.00</t>
  </si>
  <si>
    <t>9015.80.90</t>
  </si>
  <si>
    <t>9015.90.10</t>
  </si>
  <si>
    <t>9016.00.10</t>
  </si>
  <si>
    <t>9016.00.90</t>
  </si>
  <si>
    <t>9017.20.00</t>
  </si>
  <si>
    <t>9017.30.10</t>
  </si>
  <si>
    <t>9017.30.20</t>
  </si>
  <si>
    <t>9017.30.90</t>
  </si>
  <si>
    <t>9017.80.10</t>
  </si>
  <si>
    <t>9017.80.90</t>
  </si>
  <si>
    <t>9017.90.10</t>
  </si>
  <si>
    <t>9018.31.11</t>
  </si>
  <si>
    <t>9018.31.19</t>
  </si>
  <si>
    <t>9018.31.90</t>
  </si>
  <si>
    <t>9018.32.19</t>
  </si>
  <si>
    <t>9018.39.29</t>
  </si>
  <si>
    <t>9018.39.99</t>
  </si>
  <si>
    <t>9018.90.10</t>
  </si>
  <si>
    <t>9018.90.29</t>
  </si>
  <si>
    <t>9018.90.96</t>
  </si>
  <si>
    <t>9018.90.99</t>
  </si>
  <si>
    <t>9019.20.10</t>
  </si>
  <si>
    <t>9019.20.20</t>
  </si>
  <si>
    <t>9019.20.30</t>
  </si>
  <si>
    <t>9020.00.10</t>
  </si>
  <si>
    <t>9020.00.90</t>
  </si>
  <si>
    <t>9021.10.10</t>
  </si>
  <si>
    <t>9023.00.00</t>
  </si>
  <si>
    <t>9024.80.29</t>
  </si>
  <si>
    <t>9024.80.90</t>
  </si>
  <si>
    <t>9024.90.00</t>
  </si>
  <si>
    <t>9025.11.91</t>
  </si>
  <si>
    <t>9025.11.99</t>
  </si>
  <si>
    <t>9025.19.10</t>
  </si>
  <si>
    <t>9025.19.90</t>
  </si>
  <si>
    <t>9025.80.00</t>
  </si>
  <si>
    <t>9025.90.10</t>
  </si>
  <si>
    <t>9025.90.90</t>
  </si>
  <si>
    <t>9026.10.11</t>
  </si>
  <si>
    <t>9026.10.19</t>
  </si>
  <si>
    <t>9026.10.29</t>
  </si>
  <si>
    <t>9026.20.10</t>
  </si>
  <si>
    <t>9026.20.90</t>
  </si>
  <si>
    <t>9026.80.00</t>
  </si>
  <si>
    <t>9026.90.10</t>
  </si>
  <si>
    <t>9026.90.20</t>
  </si>
  <si>
    <t>9026.90.90</t>
  </si>
  <si>
    <t>9027.10.00</t>
  </si>
  <si>
    <t>9027.20.11</t>
  </si>
  <si>
    <t>9027.20.29</t>
  </si>
  <si>
    <t>9027.30.11</t>
  </si>
  <si>
    <t>9027.30.19</t>
  </si>
  <si>
    <t>9027.30.20</t>
  </si>
  <si>
    <t>9027.50.10</t>
  </si>
  <si>
    <t>9027.50.90</t>
  </si>
  <si>
    <t>9027.80.99</t>
  </si>
  <si>
    <t>9027.89.12</t>
  </si>
  <si>
    <t>9027.89.99</t>
  </si>
  <si>
    <t>9027.90.91</t>
  </si>
  <si>
    <t>9027.90.99</t>
  </si>
  <si>
    <t>9028.10.90</t>
  </si>
  <si>
    <t>9028.20.10</t>
  </si>
  <si>
    <t>9029.10.10</t>
  </si>
  <si>
    <t>9029.20.10</t>
  </si>
  <si>
    <t>9029.20.20</t>
  </si>
  <si>
    <t>9029.90.10</t>
  </si>
  <si>
    <t>9030.31.00</t>
  </si>
  <si>
    <t>9030.33.29</t>
  </si>
  <si>
    <t>9030.33.90</t>
  </si>
  <si>
    <t>9030.39.90</t>
  </si>
  <si>
    <t>9030.89.90</t>
  </si>
  <si>
    <t>9030.90.90</t>
  </si>
  <si>
    <t>9031.49.90</t>
  </si>
  <si>
    <t>9031.80.20</t>
  </si>
  <si>
    <t>9031.80.60</t>
  </si>
  <si>
    <t>9031.80.99</t>
  </si>
  <si>
    <t>9031.90.90</t>
  </si>
  <si>
    <t>9032.10.90</t>
  </si>
  <si>
    <t>9032.20.00</t>
  </si>
  <si>
    <t>9032.81.00</t>
  </si>
  <si>
    <t>9032.89.11</t>
  </si>
  <si>
    <t>9032.89.82</t>
  </si>
  <si>
    <t>9032.89.83</t>
  </si>
  <si>
    <t>9032.89.89</t>
  </si>
  <si>
    <t>9032.89.90</t>
  </si>
  <si>
    <t>9032.90.10</t>
  </si>
  <si>
    <t>9032.90.99</t>
  </si>
  <si>
    <t>9033.00.00</t>
  </si>
  <si>
    <t>9105.29.00</t>
  </si>
  <si>
    <t>9106.90.00</t>
  </si>
  <si>
    <t>9107.00.10</t>
  </si>
  <si>
    <t>9401.71.00</t>
  </si>
  <si>
    <t>9401.80.00</t>
  </si>
  <si>
    <t>9403.10.00</t>
  </si>
  <si>
    <t>9403.20.90</t>
  </si>
  <si>
    <t>9403.30.00</t>
  </si>
  <si>
    <t>9403.40.00</t>
  </si>
  <si>
    <t>9403.60.00</t>
  </si>
  <si>
    <t>9405.10.93</t>
  </si>
  <si>
    <t>9405.11.90</t>
  </si>
  <si>
    <t>9405.19.90</t>
  </si>
  <si>
    <t>9405.40.10</t>
  </si>
  <si>
    <t>9405.42.00</t>
  </si>
  <si>
    <t>9405.49.00</t>
  </si>
  <si>
    <t>9405.99.00</t>
  </si>
  <si>
    <t>9406.90.20</t>
  </si>
  <si>
    <t>9504.30.00</t>
  </si>
  <si>
    <t>9603.29.00</t>
  </si>
  <si>
    <t>9603.40.10</t>
  </si>
  <si>
    <t>9603.40.90</t>
  </si>
  <si>
    <t>9603.50.00</t>
  </si>
  <si>
    <t>9603.90.00</t>
  </si>
  <si>
    <t>9604.00.00</t>
  </si>
  <si>
    <t>9608.10.00</t>
  </si>
  <si>
    <t>9608.20.00</t>
  </si>
  <si>
    <t>9609.10.00</t>
  </si>
  <si>
    <t>9609.20.00</t>
  </si>
  <si>
    <t>9610.00.00</t>
  </si>
  <si>
    <t>9611.00.00</t>
  </si>
  <si>
    <t>9612.10.00</t>
  </si>
  <si>
    <t>9613.80.00</t>
  </si>
  <si>
    <t>9616.10.00</t>
  </si>
  <si>
    <t>9617.00.10</t>
  </si>
  <si>
    <t>9619.00.00</t>
  </si>
  <si>
    <t>9999.00.06</t>
  </si>
  <si>
    <t>CONF ART 54 DEC 45490/00 E RES. SF 31/08</t>
  </si>
  <si>
    <t>8471.60.53</t>
  </si>
  <si>
    <t>ALIQ. DE ICMS RED. CONF.RES. SF 04 DE 15.01.98</t>
  </si>
  <si>
    <t>ALÍQ DIFERENCIADA DE ICMS - 12%</t>
  </si>
  <si>
    <t>4901.10.00</t>
  </si>
  <si>
    <t>ART150 INC VI CF/88</t>
  </si>
  <si>
    <t>Imunidade - para livros, jornais, revistas e periódicos - Art., 150 inciso VI, da CF/88</t>
  </si>
  <si>
    <t>4901.91.00</t>
  </si>
  <si>
    <t>4902.10.00</t>
  </si>
  <si>
    <t>red. base de calculo 26.67%</t>
  </si>
  <si>
    <t>cfe Co 52/91-5/99 cat 95/00 ICMS 1/2000 LEI COMP 1-2/2000 DE 12/07/2000</t>
  </si>
  <si>
    <t>9999.00.02</t>
  </si>
  <si>
    <t>B.C. RED.41,67%</t>
  </si>
  <si>
    <t>CONF.ART.151, ANEXO II, ART.3,DEC.45490 E 45583/00-41,87 MACARRÃO, FARINHA DE TRIGO E MISTURA P/BOLO</t>
  </si>
  <si>
    <t>9999.00.03</t>
  </si>
  <si>
    <t>B.C. RED.61,11%</t>
  </si>
  <si>
    <t>CONF.ART 51, ANEXO II, ART.3,DEC.45490 E 45583/00-61,11%-AÇUCAR, CAFÉ, OLEO, FARINHA DE MILHO, FUBÁ, MILHARINA, POLENFINA, LEITE EM PÓ E POLENTA</t>
  </si>
  <si>
    <t>CONV. ICMS 52/91 ATUALIZ. PELO COM CAT 95/00 DE 04/08/00 ART 12 ANEXO II DEC.45490/00</t>
  </si>
  <si>
    <t>BASE DE CALC. ICMS RED. 26,66%</t>
  </si>
  <si>
    <t>9999.00.05</t>
  </si>
  <si>
    <t>ITENS DE CESTA BÁSICA</t>
  </si>
  <si>
    <t>ALÍQUOTA ICMS 0%</t>
  </si>
  <si>
    <t>BASE DE CALCULO ICMS REDUZIDA 26,67%</t>
  </si>
  <si>
    <t>CONV.52/91 - ART 12 ANEXO I DEC.45490/00-RICMS/SP</t>
  </si>
  <si>
    <t>8404.20.00</t>
  </si>
  <si>
    <t>8410.11.00</t>
  </si>
  <si>
    <t>8410.13.00</t>
  </si>
  <si>
    <t>8416.10.00</t>
  </si>
  <si>
    <t>8416.30.00</t>
  </si>
  <si>
    <t>8417.20.00</t>
  </si>
  <si>
    <t>8419.32.00</t>
  </si>
  <si>
    <t>8419.39.00</t>
  </si>
  <si>
    <t>8420.91.00</t>
  </si>
  <si>
    <t>8423.20.00</t>
  </si>
  <si>
    <t>8424.20.00</t>
  </si>
  <si>
    <t>8426.11.00</t>
  </si>
  <si>
    <t>8426.20.00</t>
  </si>
  <si>
    <t>8426.30.00</t>
  </si>
  <si>
    <t>8428.10.00</t>
  </si>
  <si>
    <t>8428.31.00</t>
  </si>
  <si>
    <t>8428.32.00</t>
  </si>
  <si>
    <t>8428.33.00</t>
  </si>
  <si>
    <t>8435.10.00</t>
  </si>
  <si>
    <t>8438.10.00</t>
  </si>
  <si>
    <t>8438.40.00</t>
  </si>
  <si>
    <t>8438.50.00</t>
  </si>
  <si>
    <t>8438.60.00</t>
  </si>
  <si>
    <t>8441.20.00</t>
  </si>
  <si>
    <t>8441.40.00</t>
  </si>
  <si>
    <t>8442.10.00</t>
  </si>
  <si>
    <t>8443.11.00</t>
  </si>
  <si>
    <t>8443.21.00</t>
  </si>
  <si>
    <t>8443.29.00</t>
  </si>
  <si>
    <t>8443.30.00</t>
  </si>
  <si>
    <t>8445.12.00</t>
  </si>
  <si>
    <t>8447.11.00</t>
  </si>
  <si>
    <t>8447.12.00</t>
  </si>
  <si>
    <t>8451.10.00</t>
  </si>
  <si>
    <t>8451.29.00</t>
  </si>
  <si>
    <t>8453.20.00</t>
  </si>
  <si>
    <t>8453.80.00</t>
  </si>
  <si>
    <t>8455.10.00</t>
  </si>
  <si>
    <t>8455.90.00</t>
  </si>
  <si>
    <t>8457.10.00</t>
  </si>
  <si>
    <t>8459.21.99</t>
  </si>
  <si>
    <t>8459.29.00</t>
  </si>
  <si>
    <t>8459.31.00</t>
  </si>
  <si>
    <t>8459.39.00</t>
  </si>
  <si>
    <t>8459.40.00</t>
  </si>
  <si>
    <t>8459.70.00</t>
  </si>
  <si>
    <t>8460.21.00</t>
  </si>
  <si>
    <t>8460.29.00</t>
  </si>
  <si>
    <t>8460.31.00</t>
  </si>
  <si>
    <t>8460.39.00</t>
  </si>
  <si>
    <t>8461.40.99</t>
  </si>
  <si>
    <t>8462.21.00</t>
  </si>
  <si>
    <t>8462.29.00</t>
  </si>
  <si>
    <t>8462.41.00</t>
  </si>
  <si>
    <t>8462.49.00</t>
  </si>
  <si>
    <t>8462.91.99</t>
  </si>
  <si>
    <t>8463.30.00</t>
  </si>
  <si>
    <t>8468.10.00</t>
  </si>
  <si>
    <t>8474.31.00</t>
  </si>
  <si>
    <t>8474.32.00</t>
  </si>
  <si>
    <t>8474.39.00</t>
  </si>
  <si>
    <t>8475.10.00</t>
  </si>
  <si>
    <t>8477.10.99</t>
  </si>
  <si>
    <t>8477.40.00</t>
  </si>
  <si>
    <t>8477.51.00</t>
  </si>
  <si>
    <t>8477.80.00</t>
  </si>
  <si>
    <t>8479.30.00</t>
  </si>
  <si>
    <t>8479.40.00</t>
  </si>
  <si>
    <t>8479.81.00</t>
  </si>
  <si>
    <t>8480.10.00</t>
  </si>
  <si>
    <t>8480.41.00</t>
  </si>
  <si>
    <t>8480.50.00</t>
  </si>
  <si>
    <t>8480.60.00</t>
  </si>
  <si>
    <t>8480.71.00</t>
  </si>
  <si>
    <t>8480.79.00</t>
  </si>
  <si>
    <t>8515.31.00</t>
  </si>
  <si>
    <t>8515.39.00</t>
  </si>
  <si>
    <t>2710.11.29</t>
  </si>
  <si>
    <t>CONF. DECRETO 55437 DE 17.02.2010</t>
  </si>
  <si>
    <t>Alíquota de ICMS 25%</t>
  </si>
  <si>
    <t>DEC.3102-30/06/99</t>
  </si>
  <si>
    <t>Alíquota IPI 5%</t>
  </si>
  <si>
    <t>IMPORTACAO COM BASE DE CALCULO E ALIQUOTA REDUZIDAS DE ICMS</t>
  </si>
  <si>
    <t>ICMS 12%</t>
  </si>
  <si>
    <t>CFE SF 4 DE 16.01.99-DOE SP DE 20.01.99  E INC. V DO DEC.45490/00-RICMS/SP</t>
  </si>
  <si>
    <t>CONF. DEC. 4.070 - DOU 31/11/2001</t>
  </si>
  <si>
    <t>ALÍQUOTA DE IPI 5%</t>
  </si>
  <si>
    <t>LC 228/2026 REIQ</t>
  </si>
  <si>
    <t>Redução de alíquotas de PIS/Cofins para insumos químicos conforme LC 228/2026 (REIQ) ¿ válida mar/dez 2026.</t>
  </si>
  <si>
    <t>Lei 11.668/2023</t>
  </si>
  <si>
    <t>Alíquotas PIS (1,65%) e COFINS (7,6%) na compra de ETENO da Braskem.</t>
  </si>
  <si>
    <t>9999.00.01</t>
  </si>
  <si>
    <t>ART 51, ANEXO II, ART 3, DEC.45490/00 E DEC.45583/00</t>
  </si>
  <si>
    <t>ALÍQUOTA ICMS 7%</t>
  </si>
  <si>
    <t>RED.ALIQ.CONV.ICMS</t>
  </si>
  <si>
    <t>ICMS: ART 266, INC IX DECR 13780/12 (a) - TERMO DE ACORDO 3333/09 E PARECER 23388/17 CONV ICMS 159/08 - PRORROGADO PELO CONV 178/21 - 26/10/2021</t>
  </si>
  <si>
    <t>ICMS: ART 286, INC XVI DO DECRETO 13.780 DE 16/03/2012 (RICMS-BA)</t>
  </si>
  <si>
    <t>ICMS: ART 286, INC XX DO DECRETO 13.780 DE 16/03/2012 (RICMS-BA)</t>
  </si>
  <si>
    <t>ICMS: ARTIGO 265, INC. XXX, ALINEA A (CONV.ICMS 88/91)DEC. 13780/2012</t>
  </si>
  <si>
    <t>ICMS: ARTIGO 280 INCISO I DECRETO 13780/2012</t>
  </si>
  <si>
    <t>ICMS: ARTIGO 7º, INCISO IX DO RICMS/2000-SP</t>
  </si>
  <si>
    <t>ICMS: ARTIGO 7º, INCISO IX DO RICMS/2000-SP-MATERIAL DEVERA RETORNAR EM 60 DIAIS</t>
  </si>
  <si>
    <t>ICMS: ARTIGO 7º, INCISO XIV DO RICMS/2000-SP</t>
  </si>
  <si>
    <t>ICMS: ARTIGO 7º, INCISO XV DO RICMS/2000-SP</t>
  </si>
  <si>
    <t>ICMS: ARTIGO 82, ANEXO I DO RICMS/2000-SP</t>
  </si>
  <si>
    <t>ICMS: ARTIGO 8º DO ANEXO VII DO RICMS/SP</t>
  </si>
  <si>
    <t>ICMS: Base de cálculo reduzida  de forma que a carga tributária incidente corresponda a 12%, de acordo com Art. 266, Inciso XLVII do Decreto 13.780/</t>
  </si>
  <si>
    <t>ICMS: Conforme Convenio ICMS 77/2011</t>
  </si>
  <si>
    <t>ICMS: DIFERIDO - REGIME ESPECIAL CONFORME PROCESSO 80949-844359/2013 Prorrogado pelo Processo Eletrônico 2322/2015</t>
  </si>
  <si>
    <t>ICMS: DIFERIDO NOS TERMOS DO ITEM I APENDICE II DECRETO 37699/97</t>
  </si>
  <si>
    <t>ICMS: Diferimento Parcial conf Livro III, Art.1ºK do Decreto 55.797/21</t>
  </si>
  <si>
    <t>ICMS: EMITIDA NOS TERMOS SO ARTIGO 129 PARAGRAFO 2 ITEM 2 DECRETO 45490/00</t>
  </si>
  <si>
    <t>ICMS: ICMS a ser lançado e pago pelo substituto tributário nos termos do disposto no artigo 425 e nos artigos 5º e 6º do Anexo XVIII, todos do RICMS</t>
  </si>
  <si>
    <t>ICMS: ICMS diferido - art. 286 do RICMS - Decreto 13780/2012 - CERTIFICADO DE DIFERIMENTO N. 9530000-7</t>
  </si>
  <si>
    <t>ICMS: ICMS DIFERIDO CONFORME ARTIGO 400-J, § 3º DO DECRETO 45490/2000</t>
  </si>
  <si>
    <t>ICMS: ICMS DIFERIDO CONFORME PORTARIA CAT 22/07 - 30.06.2007</t>
  </si>
  <si>
    <t>ICMS: ICMS Diferido Conforme Resolução 20/2006, artigo 1º, II, "b", c/c Decreto 6.734/1997 -</t>
  </si>
  <si>
    <t>ICMS: ICMS DIFERIDO NOS TERMOS DO ARTIGO 392 DO DECRETO 45.490/00 ¿ (RICMS/SP)</t>
  </si>
  <si>
    <t>ICMS: ICMS ISENTO CONF. Lei 7014/96, artigo 3, inciso XVC</t>
  </si>
  <si>
    <t>ICMS: ICMS: ISENTO - CONFORME ART. 265, INC XII DECRETO 13780/2012</t>
  </si>
  <si>
    <t>ICMS: ISENTO - CONFORME ART. 41, ANEXO I DO RICMS/SP CONVÊNIO ICMS 100/97, PRORROGADO E ALTERADO PELO CONV. 26/2021</t>
  </si>
  <si>
    <t>ICMS: ISENTO - CONFORME ART. 84 ANEXO I - DECRETO 45490/2000</t>
  </si>
  <si>
    <t>ICMS: ISENTO CONFORME ARTIGO 9 DO LIVRO I, INCISO XII DO DECRETO 37699/97</t>
  </si>
  <si>
    <t>ICMS: NAO INCIDENCIA CONFORME ARTIGO 11, INCISO XI, LIVRO I, DECRETO 37699/97</t>
  </si>
  <si>
    <t>ICMS: NAO INCIDENCIA CONFORME ARTIGO 155 INCISO I, LETRA B DA CONSTITUICAO FEDERAL</t>
  </si>
  <si>
    <t>ICMS: NÃO INCIDÊNCIA CONFORME ARTIGO 3 INCISO II DA LEI 7.014/96</t>
  </si>
  <si>
    <t>ICMS: NÃO INCIDÊNCIA CONFORME ARTIGO 3º INCISO VIII DA LEI 7.014/96</t>
  </si>
  <si>
    <t>ICMS: NÃO INCIDÊNCIA CONFORME ARTIGO 3º,  INCISO VI DA LEI 7.014/96</t>
  </si>
  <si>
    <t>ICMS: NAO INCIDENCIA CONFORME ARTIGO 6, INCISO XIV, DECRETO 6284/97</t>
  </si>
  <si>
    <t>ICMS: NAO INCIDENCIA CONFORME ARTIGO 7 DECRETO 45.490/00</t>
  </si>
  <si>
    <t>ICMS: NAO INCIDENCIA CONFORME ARTIGO 7, INCISO I, DECRETO 45490/00</t>
  </si>
  <si>
    <t>ICMS: NAO INCIDENCIA CONFORME ARTIGO 7, INCISO IX e XIV, DECRETO 45490/00</t>
  </si>
  <si>
    <t>ICMS: NAO INCIDENCIA CONFORME ARTIGO 7, INCISO V, DECRETO 45490/00</t>
  </si>
  <si>
    <t>ICMS: NAO INCIDENCIA CONFORME ARTIGO 7, INCISO XIV do RICMS SP</t>
  </si>
  <si>
    <t>ICMS: NAO INCIDENCIA CONFORME DECRETO 6284/97</t>
  </si>
  <si>
    <t>ICMS: NAO INCIDENCIA CONFORME LIVRO I, ARTIGO 11, INCISO V DC 37699/97</t>
  </si>
  <si>
    <t>ICMS: NAO INCIDENCIA CONFORME SEÇÃO III, ARTIGO 406, DECR 45.490/00 (RICMS/SP)</t>
  </si>
  <si>
    <t>ICMS: NAO INCIDENCIA CONFORME SEÇÃO V, ARTIGO 61, I-b, DO DECRETO 37699/97 (RICMS/RS)</t>
  </si>
  <si>
    <t>ICMS: NAO INCIDENCIA DO ICMS CONFORME ARTIGO 11, INCISO VII, DO DECRETO 37.699/1997</t>
  </si>
  <si>
    <t>ICMS: Nota Fiscal conforme ajuste SINIEF 14, de 11 de Dezembro de 2009.</t>
  </si>
  <si>
    <t>ICMS: NOTA FISCAL EMITIDA CONFORME ARTIGO 406 - DECR. 45490/00</t>
  </si>
  <si>
    <t>ICMS: O recolhimento do ICMS é de responsabilidade do armazém geral - Conf. Art 30 do Conv. S/N de 1970</t>
  </si>
  <si>
    <t>ICMS: REDUÇÃO DA BASE DE CÁLCULO DE ICMS DE ACORDO COM INCISO XLII DO ART. 268 DO RICMS/BA. PERCENTUAL REDUZIDO PARA 70,5882%</t>
  </si>
  <si>
    <t>ICMS: REDUÇÃO DA BASE DE CÁLCULO DO ICMS, CONFORME TERMO DE ACORDO E  DECRETO Nº. 7.799 DE 05/2000.</t>
  </si>
  <si>
    <t>ICMS: REGIME ESPECIAL CONFORME PROCESSO 015122/2016</t>
  </si>
  <si>
    <t>ICMS: SUSPENSO CONF CAPUT X,  ARTIGO 281, I DECRETO 13.780/2012 (RICMS/BA)</t>
  </si>
  <si>
    <t>ICMS: SUSPENSO CONFORME ART. 402, 406 E 408 DO DECRETO 45490/2000</t>
  </si>
  <si>
    <t>ICMS: SUSPENSO CONFORME ARTIGO 280, I DO DECRETO 13.780/12</t>
  </si>
  <si>
    <t>ICMS: SUSPENSO CONFORME ARTIGO 319, DECRETO 45.490/00</t>
  </si>
  <si>
    <t>ICMS: SUSPENSO CONFORME ARTIGO 341 INCISO IV, COMBINADO COM O OARTIGO 620 ITEM I LETRA a,b,c DO DECRETO 6284/97</t>
  </si>
  <si>
    <t>ICMS: SUSPENSO CONFORME ARTIGO 402, DECRETO 45490/00</t>
  </si>
  <si>
    <t>ICMS: SUSPENSO CONFORME ARTIGO 402, PARAGRAFO 1 E 2, DECRETO 45490/00  RETORNO SIMBOLICO DE MERCADORIA UTILIZADA NA INDUSTRIALIZACAO DE SEU PRODUTO</t>
  </si>
  <si>
    <t>ICMS: SUSPENSO CONFORME SEÇÃO V, ARTIGO 55, I DO DECRETO 37.699/97 (RICMS/RS)</t>
  </si>
  <si>
    <t>ICMS:ART 266, INC IX DECR 13780/12 (c) - TERMO DE ACORDO 3333/09 E PARECER 23388/17 CONV ICMS 159/08 - PRORROGADO PELO CONV 226/23 - 21/12/2023</t>
  </si>
  <si>
    <t>ICMS:Base de Cálculo Reduzida Cforme Art.53, do Anexo II, do RICMS 2000 e Credenciamento Cforme Port. CAT 48/2011.</t>
  </si>
  <si>
    <t>MERCADORIA SEGUE A TITULO DE AMOSTRA GRATIS</t>
  </si>
  <si>
    <t>MERCADORIA SEGUE A TITULO DE CONSIGNACAO INDUSTRIAL</t>
  </si>
  <si>
    <t>MERCADORIA SEGUE A TITULO DE CONSIGNACAO MERCANTIL</t>
  </si>
  <si>
    <t>NF TRF.DE BENS E MERC.SEM ICMS, ADC 49</t>
  </si>
  <si>
    <t>NF TRF.DE BENS E MERC.SEM ICMS, ADC 49.EMISSAO P/ OP TRF.CRED.ICMS.EQUIP A OPER.TRIBUTADA, CFE §5º art.12, LC Nº 87/96 DO CONV.ICMS nº 109/24.</t>
  </si>
  <si>
    <t>IPI - SUSPENSO CONF. ART.43, INCISO VI, DECRETO 7212/10 RIPI.</t>
  </si>
  <si>
    <t>IPI SUSPENSO CONF. ART. 43, VII LEI 7.212/10</t>
  </si>
  <si>
    <t>IPI: IMUNE NOS TERMOS DO PARAGRAFO 3 DO INC. III DO ART. 153 DA CF/88 e  II DO ART. 18 DECRETO 4544/2002</t>
  </si>
  <si>
    <t>IPI: IPI SUSPENSO CONF ART.84, DECRT 7212/2010 ## PIS/COFINS:Ficam reduzidas a 0(zero) as alíquotas do PIS e COFINS-conf art 2º- Lei 10996/2004</t>
  </si>
  <si>
    <t>IPI: NAO INCIDE CONFORME ARTIGO 37, INCISO II, ALINEA A, DECRETO 4544/2002</t>
  </si>
  <si>
    <t>IPI: NAO INCIDENCIA ARTIGO 5 DECRETO 4544/02 PRODUTO DE NOSSA PROPRIEDADE QUE SEGUE A TITULO DE EMPRESTIMO, DEVENDO RETORNAR NA MESMA QUANTIDADE E QUA</t>
  </si>
  <si>
    <t>IPI: Suspensao do IPI para estabelecimento habilitado ao Recof-Sped ADE DECEX/SPO N 67, DE 19 DE DEZEMBRO DE 2023 e IN 2126/22</t>
  </si>
  <si>
    <t>IPI: SUSPENSO CONF. DECRETO 7.212/2010, ARTIGO 43, INCISO X</t>
  </si>
  <si>
    <t>IPI: SUSPENSO CONFORME ARTIGO 42, INCISO III, DECRETO 4544/200202</t>
  </si>
  <si>
    <t>IPI: SUSPENSO CONFORME ARTIGO 42, INCISO VIII, DECRETO 4544/2002</t>
  </si>
  <si>
    <t>Saída com isenção do IPI, da contribuição para o PIS/PASEP e da COFINS, para estabelecimento habilitado ao Regime Aduaneiro Especial de Drawback Integ</t>
  </si>
  <si>
    <t>06PIS-COFINS: ALIQUOTA 0 P/ PIS/COFINS CONF. ART. 1 INCISOS 1 E 2 LEI 10925/04. PROD.EXCLUSIVO P/ DEFENSIVOS AGROPECUÁRIOS, FERTILIZANTES E ADUBOS</t>
  </si>
  <si>
    <t>Municipio</t>
  </si>
  <si>
    <t>AMERICANA</t>
  </si>
  <si>
    <t>APIAI</t>
  </si>
  <si>
    <t>CABO DE SANTO AGOSTINHO</t>
  </si>
  <si>
    <t>CAMPO GRANDE</t>
  </si>
  <si>
    <t>CASTRO ALVES</t>
  </si>
  <si>
    <t>CATU</t>
  </si>
  <si>
    <t>CONTAGEM</t>
  </si>
  <si>
    <t>COSMOPOLIS</t>
  </si>
  <si>
    <t>DUQUE DE CAXIAS</t>
  </si>
  <si>
    <t>EMBU DAS ARTES</t>
  </si>
  <si>
    <t>FERRAZ DE VASCONCELOS</t>
  </si>
  <si>
    <t>FOZ DO IGUACU</t>
  </si>
  <si>
    <t>GUAPIMIRIM</t>
  </si>
  <si>
    <t>GUARATINGUETA</t>
  </si>
  <si>
    <t>HOLAMBRA</t>
  </si>
  <si>
    <t>IPERO</t>
  </si>
  <si>
    <t>IRARA</t>
  </si>
  <si>
    <t>JANDAIRA</t>
  </si>
  <si>
    <t>MATA DE SAO JOAO</t>
  </si>
  <si>
    <t>NAVEGANTES</t>
  </si>
  <si>
    <t>NOVA IGUACU</t>
  </si>
  <si>
    <t>NOVA LIMA</t>
  </si>
  <si>
    <t>NOVA ODESSA</t>
  </si>
  <si>
    <t>SALTO</t>
  </si>
  <si>
    <t>SANTA BARBARA D'OESTE</t>
  </si>
  <si>
    <t>SANTANA DO PARNAIBA</t>
  </si>
  <si>
    <t>SAO FRANCISCO DO CONDE</t>
  </si>
  <si>
    <t>SAO MIGUEL D'OESTE</t>
  </si>
  <si>
    <t>SAO PEDRO</t>
  </si>
  <si>
    <t>TABAI</t>
  </si>
  <si>
    <t>TAIO</t>
  </si>
  <si>
    <t>TAQUARI</t>
  </si>
  <si>
    <t>VIAMAO</t>
  </si>
  <si>
    <t>O7498</t>
  </si>
  <si>
    <t>nan</t>
  </si>
  <si>
    <t>CodServico</t>
  </si>
  <si>
    <t>Subitem</t>
  </si>
  <si>
    <t>11.04.</t>
  </si>
  <si>
    <t>7.1</t>
  </si>
  <si>
    <t>NI</t>
  </si>
  <si>
    <t>14.1</t>
  </si>
  <si>
    <t>17.1</t>
  </si>
  <si>
    <t>7.2</t>
  </si>
  <si>
    <t>17.2</t>
  </si>
  <si>
    <t>15.1</t>
  </si>
  <si>
    <t>051Diferido ICMS - Diferimento 100% do ICMS devido na saída interna, conf Regime Especial nº 19991/2016, nos termos do artigo 327-J do RICMS</t>
  </si>
  <si>
    <t>051DIFERIDO - REGIME ESPECIAL CONFORME PROCESSO 015122/2016</t>
  </si>
  <si>
    <t>051Diferido ICMS - DIFERIMENTO 100% ICMS CFE REG. ESPECIAL Nº36614/2019, NOS TERMOS ART 327-J e 489 RICMS, DEC. 45490/2000 - II ART 1º PORT CAT 43/07</t>
  </si>
  <si>
    <t>051Diferido ICMS - DIFERIMENTO DE 100% DO ICMS DEVIDO NA SAÍDA INTERNA, REGIME ESPECIAL Nº 22665/2017, NOS TERMOS ART. 327-J RICMS</t>
  </si>
  <si>
    <t>051Diferido ICMS - DIFERIMENTO 100% ICMS CFE REG. ESPEC. Nº029185/2018, NOS TERMOS ART 327-J e 489 RICMS, DEC.45490/00 E ART. 13-A DA PORT.CAT 18/21</t>
  </si>
  <si>
    <t>051Diferido ICMS 100% - Conf REGESP 2434/2015 - art. 327-J e 489 do Dec 45.490/2000 RICMS/SP.</t>
  </si>
  <si>
    <t>015122/2016</t>
  </si>
  <si>
    <t>19991/2016</t>
  </si>
  <si>
    <t>36614/2019</t>
  </si>
  <si>
    <t>22665/2017</t>
  </si>
  <si>
    <t>029185/2018</t>
  </si>
  <si>
    <t>2434/2015</t>
  </si>
  <si>
    <t>artigo 327-J do RICMS</t>
  </si>
  <si>
    <t>ART 327-J e 489 RICMS, DEC. 45490/2000 - II ART 1º PORT CAT 43/07</t>
  </si>
  <si>
    <t>TERMOS ART. 327-J RICMS</t>
  </si>
  <si>
    <t>ART 327-J e 489 RICMS, DEC.45490/00 E ART. 13-A DA PORT.CAT 18/21</t>
  </si>
  <si>
    <t>art. 327-J e 489 do Dec 45.490/2000 RICMS/SP.</t>
  </si>
  <si>
    <t>Oracle R11</t>
  </si>
  <si>
    <t>Oracle EBS 11.5.10.2</t>
  </si>
  <si>
    <t xml:space="preserve">DBLINK / Conectores nativos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</si>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</sst>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164" formatCode="_(&quot;$&quot;* #,##0.00_);_(&quot;$&quot;* \(#,##0.00\);_(&quot;$&quot;* &quot;-&quot;??_);_(@_)"/>
    <numFmt numFmtId="165" formatCode="_(&quot;$&quot;* #,##0_);_(&quot;$&quot;* \(#,##0\);_(&quot;$&quot;* &quot;-&quot;??_);_(@_)"/>
    <numFmt numFmtId="166" formatCode="0.00000"/>
    <numFmt numFmtId="167" formatCode="0.0"/>
    <numFmt numFmtId="168" formatCode="0000&quot;.&quot;00&quot;.&quot;00"/>
    <numFmt numFmtId="169" formatCode="_-[$R$-416]\ * #,##0.00_-;\-[$R$-416]\ * #,##0.00_-;_-[$R$-416]\ * &quot;-&quot;??_-;_-@_-"/>
  </numFmts>
  <fonts count="55" x14ac:knownFonts="1">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theme="1"/>
      <name val="Calibri"/>
      <family val="2"/>
    </font>
    <font>
      <sz val="10"/>
      <name val="Calibri"/>
      <family val="2"/>
      <scheme val="minor"/>
    </font>
    <font>
      <b/>
      <sz val="10"/>
      <color rgb="FFFF0000"/>
      <name val="Calibri"/>
      <family val="2"/>
      <scheme val="minor"/>
    </font>
    <font>
      <b/>
      <sz val="10"/>
      <name val="Calibri"/>
      <family val="2"/>
      <scheme val="minor"/>
    </font>
    <font>
      <b/>
      <sz val="11"/>
      <name val="Calibri"/>
      <family val="2"/>
      <scheme val="minor"/>
    </font>
    <font>
      <sz val="10"/>
      <color rgb="FFFF0000"/>
      <name val="Calibri"/>
      <family val="2"/>
      <scheme val="minor"/>
    </font>
    <font>
      <u/>
      <sz val="10"/>
      <color theme="1"/>
      <name val="Calibri"/>
      <family val="2"/>
      <scheme val="minor"/>
    </font>
    <font>
      <b/>
      <sz val="9"/>
      <color indexed="81"/>
      <name val="Tahoma"/>
      <family val="2"/>
    </font>
    <font>
      <b/>
      <sz val="11"/>
      <color rgb="FF3F3F76"/>
      <name val="Calibri"/>
      <family val="2"/>
      <scheme val="minor"/>
    </font>
    <font>
      <sz val="11"/>
      <color rgb="FF3F3F3F"/>
      <name val="Calibri"/>
      <family val="2"/>
      <scheme val="minor"/>
    </font>
    <font>
      <b/>
      <u/>
      <sz val="11"/>
      <color rgb="FF3F3F3F"/>
      <name val="Calibri"/>
      <family val="2"/>
      <scheme val="minor"/>
    </font>
    <font>
      <b/>
      <sz val="18"/>
      <color theme="9" tint="-0.249977111117893"/>
      <name val="Calibri"/>
      <family val="2"/>
      <scheme val="minor"/>
    </font>
    <font>
      <sz val="18"/>
      <color theme="9" tint="-0.249977111117893"/>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sz val="10"/>
      <color rgb="FFFFFFFF"/>
      <name val="Calibri"/>
      <family val="2"/>
      <scheme val="minor"/>
    </font>
    <font>
      <b/>
      <sz val="11"/>
      <color theme="0"/>
      <name val="Calibri"/>
      <family val="2"/>
      <scheme val="minor"/>
    </font>
    <font>
      <sz val="11"/>
      <color theme="0"/>
      <name val="Calibri"/>
      <family val="2"/>
      <scheme val="minor"/>
    </font>
    <font>
      <sz val="11"/>
      <name val="Calibri"/>
      <family val="2"/>
      <scheme val="minor"/>
    </font>
    <font>
      <sz val="10"/>
      <color theme="1"/>
      <name val="Times New Roman"/>
      <family val="1"/>
    </font>
    <font>
      <sz val="10"/>
      <color rgb="FF000000"/>
      <name val="Calibri"/>
      <family val="2"/>
    </font>
    <font>
      <b/>
      <sz val="11"/>
      <color rgb="FF000000"/>
      <name val="Arial"/>
      <family val="2"/>
    </font>
    <font>
      <sz val="8"/>
      <color rgb="FF000000"/>
      <name val="Arial"/>
      <family val="2"/>
    </font>
    <font>
      <sz val="11"/>
      <color rgb="FF000000"/>
      <name val="Arial"/>
      <family val="2"/>
    </font>
    <font>
      <b/>
      <sz val="20"/>
      <color rgb="FF000000"/>
      <name val="Arial"/>
      <family val="2"/>
    </font>
    <font>
      <b/>
      <sz val="8"/>
      <color rgb="FF000000"/>
      <name val="Arial"/>
      <family val="2"/>
    </font>
    <font>
      <sz val="11"/>
      <color rgb="FF000000"/>
      <name val="Calibri"/>
      <family val="2"/>
    </font>
    <font>
      <b/>
      <sz val="9"/>
      <color rgb="FF000000"/>
      <name val="Arial"/>
      <family val="2"/>
    </font>
    <font>
      <sz val="9"/>
      <name val="Verdana"/>
      <family val="2"/>
    </font>
    <font>
      <b/>
      <sz val="11"/>
      <color theme="0"/>
      <name val="Arial"/>
      <family val="2"/>
    </font>
    <font>
      <b/>
      <sz val="10"/>
      <name val="Arial"/>
      <family val="2"/>
    </font>
    <font>
      <b/>
      <sz val="12"/>
      <color theme="0"/>
      <name val="Calibri"/>
      <family val="2"/>
      <scheme val="minor"/>
    </font>
    <font>
      <sz val="10"/>
      <color theme="1"/>
      <name val="Arial"/>
      <family val="2"/>
    </font>
    <font>
      <b/>
      <sz val="10"/>
      <color indexed="8"/>
      <name val="Arial"/>
      <family val="2"/>
    </font>
    <font>
      <sz val="10"/>
      <color indexed="8"/>
      <name val="Arial"/>
      <family val="2"/>
    </font>
    <font>
      <b/>
      <sz val="12"/>
      <color theme="0"/>
      <name val="Arial"/>
      <family val="2"/>
    </font>
    <font>
      <b/>
      <sz val="10"/>
      <color theme="1"/>
      <name val="Arial"/>
      <family val="2"/>
    </font>
    <font>
      <sz val="11"/>
      <color rgb="FF000000"/>
      <name val="Calibri"/>
      <family val="2"/>
      <scheme val="minor"/>
    </font>
    <font>
      <b/>
      <sz val="12"/>
      <name val="Calibri"/>
      <family val="2"/>
      <scheme val="minor"/>
    </font>
    <font>
      <b/>
      <sz val="14"/>
      <color theme="0"/>
      <name val="Calibri"/>
      <family val="2"/>
      <scheme val="minor"/>
    </font>
    <font>
      <b/>
      <sz val="48"/>
      <name val="Calibri"/>
      <family val="2"/>
      <scheme val="minor"/>
    </font>
    <font>
      <b/>
      <sz val="36"/>
      <name val="Calibri"/>
      <family val="2"/>
      <scheme val="minor"/>
    </font>
    <font>
      <b/>
      <sz val="18"/>
      <color theme="0"/>
      <name val="Calibri"/>
      <family val="2"/>
      <scheme val="minor"/>
    </font>
    <font>
      <sz val="8"/>
      <color rgb="FF000000"/>
      <name val="Tahoma"/>
      <family val="2"/>
    </font>
  </fonts>
  <fills count="21">
    <fill>
      <patternFill patternType="none"/>
    </fill>
    <fill>
      <patternFill patternType="gray125"/>
    </fill>
    <fill>
      <patternFill patternType="solid">
        <fgColor rgb="FFFFCC99"/>
      </patternFill>
    </fill>
    <fill>
      <patternFill patternType="solid">
        <fgColor rgb="FFF2F2F2"/>
      </patternFill>
    </fill>
    <fill>
      <patternFill patternType="solid">
        <fgColor rgb="FFFFFF99"/>
        <bgColor indexed="64"/>
      </patternFill>
    </fill>
    <fill>
      <patternFill patternType="solid">
        <fgColor theme="9"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9"/>
        <bgColor indexed="64"/>
      </patternFill>
    </fill>
    <fill>
      <patternFill patternType="solid">
        <fgColor rgb="FFA5A5A5"/>
      </patternFill>
    </fill>
    <fill>
      <patternFill patternType="solid">
        <fgColor theme="4" tint="0.79998168889431442"/>
        <bgColor theme="4" tint="0.79998168889431442"/>
      </patternFill>
    </fill>
    <fill>
      <patternFill patternType="solid">
        <fgColor rgb="FFBFBFBF"/>
        <bgColor indexed="64"/>
      </patternFill>
    </fill>
    <fill>
      <patternFill patternType="solid">
        <fgColor rgb="FFD8E4BC"/>
        <bgColor indexed="64"/>
      </patternFill>
    </fill>
    <fill>
      <patternFill patternType="solid">
        <fgColor rgb="FFFFFF00"/>
        <bgColor indexed="64"/>
      </patternFill>
    </fill>
    <fill>
      <patternFill patternType="solid">
        <fgColor rgb="FF92D050"/>
        <bgColor indexed="64"/>
      </patternFill>
    </fill>
    <fill>
      <patternFill patternType="solid">
        <fgColor theme="9"/>
      </patternFill>
    </fill>
    <fill>
      <patternFill patternType="solid">
        <fgColor theme="0" tint="-0.14999847407452621"/>
        <bgColor indexed="64"/>
      </patternFill>
    </fill>
    <fill>
      <patternFill patternType="solid">
        <fgColor theme="9" tint="0.59999389629810485"/>
        <bgColor theme="4" tint="0.79998168889431442"/>
      </patternFill>
    </fill>
    <fill>
      <patternFill patternType="solid">
        <fgColor theme="9" tint="0.59999389629810485"/>
        <bgColor indexed="64"/>
      </patternFill>
    </fill>
    <fill>
      <patternFill patternType="solid">
        <fgColor rgb="FFD64000"/>
        <bgColor indexed="64"/>
      </patternFill>
    </fill>
  </fills>
  <borders count="5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right style="medium">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medium">
        <color indexed="64"/>
      </right>
      <top style="thin">
        <color indexed="64"/>
      </top>
      <bottom/>
      <diagonal/>
    </border>
    <border>
      <left/>
      <right/>
      <top/>
      <bottom style="medium">
        <color auto="1"/>
      </bottom>
      <diagonal/>
    </border>
    <border>
      <left style="medium">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2" fillId="2" borderId="1" applyNumberFormat="0" applyAlignment="0" applyProtection="0"/>
    <xf numFmtId="0" fontId="3" fillId="3" borderId="2" applyNumberFormat="0" applyAlignment="0" applyProtection="0"/>
    <xf numFmtId="0" fontId="4" fillId="3" borderId="1" applyNumberFormat="0" applyAlignment="0" applyProtection="0"/>
    <xf numFmtId="0" fontId="27" fillId="10" borderId="30" applyNumberFormat="0" applyAlignment="0" applyProtection="0"/>
    <xf numFmtId="0" fontId="28" fillId="16" borderId="0" applyNumberFormat="0" applyBorder="0" applyAlignment="0" applyProtection="0"/>
    <xf numFmtId="0" fontId="39" fillId="0" borderId="0">
      <alignment vertical="top"/>
    </xf>
  </cellStyleXfs>
  <cellXfs count="367">
    <xf numFmtId="0" fontId="0" fillId="0" borderId="0" xfId="0"/>
    <xf numFmtId="0" fontId="9" fillId="5" borderId="4" xfId="0" applyFont="1" applyFill="1" applyBorder="1"/>
    <xf numFmtId="0" fontId="8" fillId="6" borderId="0" xfId="0" applyFont="1" applyFill="1"/>
    <xf numFmtId="0" fontId="9" fillId="5" borderId="11" xfId="0" applyFont="1" applyFill="1" applyBorder="1" applyAlignment="1">
      <alignment horizontal="center"/>
    </xf>
    <xf numFmtId="0" fontId="13" fillId="6" borderId="12" xfId="0" applyFont="1" applyFill="1" applyBorder="1"/>
    <xf numFmtId="0" fontId="8" fillId="6" borderId="24" xfId="0" applyFont="1" applyFill="1" applyBorder="1" applyAlignment="1">
      <alignment horizontal="center"/>
    </xf>
    <xf numFmtId="0" fontId="8" fillId="6" borderId="21" xfId="0" applyFont="1" applyFill="1" applyBorder="1" applyAlignment="1">
      <alignment horizontal="center"/>
    </xf>
    <xf numFmtId="0" fontId="8" fillId="6" borderId="0" xfId="0" applyFont="1" applyFill="1" applyAlignment="1">
      <alignment horizontal="right"/>
    </xf>
    <xf numFmtId="0" fontId="9" fillId="5" borderId="26" xfId="0" applyFont="1" applyFill="1" applyBorder="1"/>
    <xf numFmtId="0" fontId="9" fillId="5" borderId="23"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23" xfId="0" applyFont="1" applyFill="1" applyBorder="1" applyAlignment="1">
      <alignment horizontal="center"/>
    </xf>
    <xf numFmtId="0" fontId="9" fillId="5" borderId="4" xfId="0" applyFont="1" applyFill="1" applyBorder="1" applyAlignment="1">
      <alignment horizontal="center" vertical="center"/>
    </xf>
    <xf numFmtId="165" fontId="9" fillId="5" borderId="28" xfId="0" applyNumberFormat="1" applyFont="1" applyFill="1" applyBorder="1" applyAlignment="1">
      <alignment horizontal="center" vertical="center"/>
    </xf>
    <xf numFmtId="165" fontId="9" fillId="5" borderId="29" xfId="0" applyNumberFormat="1" applyFont="1" applyFill="1" applyBorder="1" applyAlignment="1">
      <alignment horizontal="center" vertical="center"/>
    </xf>
    <xf numFmtId="0" fontId="9" fillId="5" borderId="15" xfId="0" applyFont="1" applyFill="1" applyBorder="1" applyAlignment="1">
      <alignment horizontal="center" vertical="center"/>
    </xf>
    <xf numFmtId="0" fontId="8" fillId="6" borderId="14" xfId="0" applyFont="1" applyFill="1" applyBorder="1" applyAlignment="1">
      <alignment horizontal="center"/>
    </xf>
    <xf numFmtId="165" fontId="9" fillId="5" borderId="15" xfId="0" applyNumberFormat="1" applyFont="1" applyFill="1" applyBorder="1" applyAlignment="1">
      <alignment horizontal="center" vertical="center"/>
    </xf>
    <xf numFmtId="0" fontId="14" fillId="8" borderId="20" xfId="0" applyFont="1" applyFill="1" applyBorder="1" applyAlignment="1">
      <alignment horizontal="center"/>
    </xf>
    <xf numFmtId="0" fontId="0" fillId="0" borderId="0" xfId="0" applyAlignment="1">
      <alignment vertical="top" wrapText="1"/>
    </xf>
    <xf numFmtId="0" fontId="4" fillId="3" borderId="1" xfId="4"/>
    <xf numFmtId="0" fontId="2" fillId="2" borderId="1" xfId="2"/>
    <xf numFmtId="0" fontId="3" fillId="3" borderId="2" xfId="3"/>
    <xf numFmtId="0" fontId="18" fillId="2" borderId="1" xfId="2" applyFont="1"/>
    <xf numFmtId="0" fontId="5" fillId="3" borderId="1" xfId="4" applyFont="1"/>
    <xf numFmtId="0" fontId="19" fillId="3" borderId="2" xfId="3" applyFont="1"/>
    <xf numFmtId="0" fontId="20" fillId="3" borderId="2" xfId="3" applyFont="1"/>
    <xf numFmtId="165" fontId="0" fillId="0" borderId="0" xfId="1" applyNumberFormat="1" applyFont="1"/>
    <xf numFmtId="0" fontId="8" fillId="6" borderId="0" xfId="0" applyFont="1" applyFill="1" applyAlignment="1">
      <alignment horizontal="center" vertical="center"/>
    </xf>
    <xf numFmtId="0" fontId="7" fillId="6" borderId="4" xfId="0" applyFont="1" applyFill="1" applyBorder="1"/>
    <xf numFmtId="0" fontId="10" fillId="4" borderId="0" xfId="0" applyFont="1" applyFill="1" applyProtection="1">
      <protection locked="0"/>
    </xf>
    <xf numFmtId="0" fontId="9" fillId="5" borderId="0" xfId="0" applyFont="1" applyFill="1"/>
    <xf numFmtId="0" fontId="8" fillId="0" borderId="0" xfId="0" applyFont="1"/>
    <xf numFmtId="165" fontId="8" fillId="0" borderId="0" xfId="1" applyNumberFormat="1" applyFont="1" applyProtection="1"/>
    <xf numFmtId="0" fontId="27" fillId="10" borderId="30" xfId="5"/>
    <xf numFmtId="165" fontId="27" fillId="10" borderId="30" xfId="5" applyNumberFormat="1"/>
    <xf numFmtId="0" fontId="0" fillId="0" borderId="0" xfId="0" applyAlignment="1">
      <alignment horizontal="center" vertical="center"/>
    </xf>
    <xf numFmtId="49" fontId="0" fillId="0" borderId="0" xfId="0" applyNumberFormat="1" applyAlignment="1">
      <alignment horizontal="center" vertical="center"/>
    </xf>
    <xf numFmtId="9" fontId="0" fillId="0" borderId="0" xfId="0" applyNumberFormat="1"/>
    <xf numFmtId="0" fontId="28" fillId="0" borderId="0" xfId="0" applyFont="1"/>
    <xf numFmtId="166" fontId="4" fillId="3" borderId="1" xfId="4" applyNumberFormat="1" applyAlignment="1" applyProtection="1">
      <alignment horizontal="left" indent="1"/>
    </xf>
    <xf numFmtId="0" fontId="3" fillId="3" borderId="2" xfId="3" applyProtection="1"/>
    <xf numFmtId="0" fontId="8" fillId="6" borderId="5" xfId="0" applyFont="1" applyFill="1" applyBorder="1" applyAlignment="1">
      <alignment horizontal="left" indent="1"/>
    </xf>
    <xf numFmtId="167" fontId="8" fillId="6" borderId="5" xfId="0" applyNumberFormat="1" applyFont="1" applyFill="1" applyBorder="1" applyAlignment="1">
      <alignment horizontal="left" indent="1"/>
    </xf>
    <xf numFmtId="0" fontId="2" fillId="2" borderId="1" xfId="2" applyAlignment="1" applyProtection="1">
      <alignment horizontal="left" indent="1"/>
    </xf>
    <xf numFmtId="0" fontId="8" fillId="6" borderId="14" xfId="0" applyFont="1" applyFill="1" applyBorder="1" applyAlignment="1">
      <alignment horizontal="left" indent="1"/>
    </xf>
    <xf numFmtId="0" fontId="4" fillId="3" borderId="1" xfId="4" applyAlignment="1" applyProtection="1">
      <alignment horizontal="left" indent="1"/>
    </xf>
    <xf numFmtId="0" fontId="3" fillId="3" borderId="2" xfId="3" applyAlignment="1" applyProtection="1">
      <alignment horizontal="left" indent="1"/>
    </xf>
    <xf numFmtId="0" fontId="7" fillId="6" borderId="14" xfId="0" applyFont="1" applyFill="1" applyBorder="1" applyAlignment="1">
      <alignment horizontal="left" indent="1"/>
    </xf>
    <xf numFmtId="0" fontId="8" fillId="6" borderId="0" xfId="0" applyFont="1" applyFill="1" applyAlignment="1">
      <alignment horizontal="left" indent="1"/>
    </xf>
    <xf numFmtId="0" fontId="6" fillId="0" borderId="0" xfId="0" applyFont="1" applyAlignment="1">
      <alignment horizontal="center" vertical="center"/>
    </xf>
    <xf numFmtId="0" fontId="12" fillId="6" borderId="0" xfId="0" applyFont="1" applyFill="1"/>
    <xf numFmtId="0" fontId="12" fillId="6" borderId="18" xfId="0" applyFont="1" applyFill="1" applyBorder="1"/>
    <xf numFmtId="0" fontId="12" fillId="6" borderId="21" xfId="0" applyFont="1" applyFill="1" applyBorder="1"/>
    <xf numFmtId="0" fontId="12" fillId="6" borderId="22" xfId="0" applyFont="1" applyFill="1" applyBorder="1"/>
    <xf numFmtId="0" fontId="8" fillId="6" borderId="7" xfId="0" applyFont="1" applyFill="1" applyBorder="1"/>
    <xf numFmtId="0" fontId="8" fillId="6" borderId="8" xfId="0" applyFont="1" applyFill="1" applyBorder="1"/>
    <xf numFmtId="0" fontId="8" fillId="6" borderId="22" xfId="0" applyFont="1" applyFill="1" applyBorder="1"/>
    <xf numFmtId="165" fontId="8" fillId="6" borderId="14" xfId="1" applyNumberFormat="1" applyFont="1" applyFill="1" applyBorder="1" applyProtection="1"/>
    <xf numFmtId="165" fontId="8" fillId="6" borderId="22" xfId="1" applyNumberFormat="1" applyFont="1" applyFill="1" applyBorder="1" applyProtection="1"/>
    <xf numFmtId="0" fontId="12" fillId="6" borderId="0" xfId="0" applyFont="1" applyFill="1" applyAlignment="1">
      <alignment horizontal="center"/>
    </xf>
    <xf numFmtId="165" fontId="12" fillId="6" borderId="0" xfId="0" applyNumberFormat="1" applyFont="1" applyFill="1" applyAlignment="1">
      <alignment horizontal="center"/>
    </xf>
    <xf numFmtId="0" fontId="9" fillId="5" borderId="21" xfId="0" applyFont="1" applyFill="1" applyBorder="1" applyAlignment="1">
      <alignment horizontal="center"/>
    </xf>
    <xf numFmtId="0" fontId="8" fillId="6" borderId="25" xfId="0" applyFont="1" applyFill="1" applyBorder="1" applyAlignment="1">
      <alignment horizontal="center"/>
    </xf>
    <xf numFmtId="165" fontId="8" fillId="6" borderId="15" xfId="1" applyNumberFormat="1" applyFont="1" applyFill="1" applyBorder="1" applyAlignment="1" applyProtection="1">
      <alignment horizontal="center"/>
    </xf>
    <xf numFmtId="0" fontId="8" fillId="6" borderId="7" xfId="0" applyFont="1" applyFill="1" applyBorder="1" applyAlignment="1">
      <alignment horizontal="left" indent="1"/>
    </xf>
    <xf numFmtId="0" fontId="8" fillId="6" borderId="26" xfId="0" applyFont="1" applyFill="1" applyBorder="1" applyAlignment="1">
      <alignment horizontal="center"/>
    </xf>
    <xf numFmtId="0" fontId="8" fillId="6" borderId="9" xfId="0" applyFont="1" applyFill="1" applyBorder="1" applyAlignment="1">
      <alignment horizontal="left" indent="1"/>
    </xf>
    <xf numFmtId="0" fontId="7" fillId="6" borderId="14" xfId="0" applyFont="1" applyFill="1" applyBorder="1" applyAlignment="1">
      <alignment horizontal="center"/>
    </xf>
    <xf numFmtId="165" fontId="7" fillId="6" borderId="14" xfId="1" applyNumberFormat="1" applyFont="1" applyFill="1" applyBorder="1" applyAlignment="1" applyProtection="1">
      <alignment horizontal="center"/>
    </xf>
    <xf numFmtId="0" fontId="8" fillId="6" borderId="25" xfId="0" applyFont="1" applyFill="1" applyBorder="1" applyAlignment="1">
      <alignment horizontal="center" vertical="center"/>
    </xf>
    <xf numFmtId="0" fontId="8" fillId="6" borderId="3" xfId="0" applyFont="1" applyFill="1" applyBorder="1" applyAlignment="1">
      <alignment vertical="center"/>
    </xf>
    <xf numFmtId="0" fontId="0" fillId="6" borderId="3" xfId="0" applyFill="1" applyBorder="1" applyAlignment="1">
      <alignment vertical="center"/>
    </xf>
    <xf numFmtId="165" fontId="8" fillId="6" borderId="3" xfId="1" applyNumberFormat="1" applyFont="1" applyFill="1" applyBorder="1" applyAlignment="1" applyProtection="1">
      <alignment horizontal="right"/>
    </xf>
    <xf numFmtId="165" fontId="8" fillId="6" borderId="3" xfId="1" applyNumberFormat="1" applyFont="1" applyFill="1" applyBorder="1" applyAlignment="1" applyProtection="1">
      <alignment horizontal="center" vertical="center"/>
    </xf>
    <xf numFmtId="165" fontId="8" fillId="6" borderId="22" xfId="1" applyNumberFormat="1" applyFont="1" applyFill="1" applyBorder="1" applyAlignment="1" applyProtection="1">
      <alignment horizontal="center" vertical="center"/>
    </xf>
    <xf numFmtId="0" fontId="8" fillId="6" borderId="21" xfId="0" applyFont="1" applyFill="1" applyBorder="1" applyAlignment="1">
      <alignment horizontal="center" vertical="center"/>
    </xf>
    <xf numFmtId="0" fontId="8" fillId="6" borderId="0" xfId="0" applyFont="1" applyFill="1" applyAlignment="1">
      <alignment vertical="center"/>
    </xf>
    <xf numFmtId="0" fontId="0" fillId="6" borderId="0" xfId="0" applyFill="1" applyAlignment="1">
      <alignment vertical="center"/>
    </xf>
    <xf numFmtId="165" fontId="8" fillId="6" borderId="0" xfId="1" applyNumberFormat="1" applyFont="1" applyFill="1" applyBorder="1" applyAlignment="1" applyProtection="1">
      <alignment horizontal="right"/>
    </xf>
    <xf numFmtId="165" fontId="8" fillId="6" borderId="0" xfId="1" applyNumberFormat="1" applyFont="1" applyFill="1" applyBorder="1" applyAlignment="1" applyProtection="1">
      <alignment horizontal="center" vertical="center"/>
    </xf>
    <xf numFmtId="0" fontId="10" fillId="6" borderId="0" xfId="0" applyFont="1" applyFill="1" applyAlignment="1">
      <alignment vertical="center"/>
    </xf>
    <xf numFmtId="0" fontId="8" fillId="6" borderId="26" xfId="0" applyFont="1" applyFill="1" applyBorder="1" applyAlignment="1">
      <alignment horizontal="center" vertical="center"/>
    </xf>
    <xf numFmtId="0" fontId="0" fillId="6" borderId="4" xfId="0" applyFill="1" applyBorder="1" applyAlignment="1">
      <alignment vertical="center"/>
    </xf>
    <xf numFmtId="165" fontId="8" fillId="6" borderId="4" xfId="1" applyNumberFormat="1" applyFont="1" applyFill="1" applyBorder="1" applyAlignment="1" applyProtection="1">
      <alignment horizontal="right"/>
    </xf>
    <xf numFmtId="165" fontId="8" fillId="6" borderId="4" xfId="1" applyNumberFormat="1" applyFont="1" applyFill="1" applyBorder="1" applyAlignment="1" applyProtection="1">
      <alignment horizontal="center" vertical="center"/>
    </xf>
    <xf numFmtId="165" fontId="8" fillId="6" borderId="31" xfId="1" applyNumberFormat="1" applyFont="1" applyFill="1" applyBorder="1" applyAlignment="1" applyProtection="1">
      <alignment horizontal="center" vertical="center"/>
    </xf>
    <xf numFmtId="0" fontId="0" fillId="0" borderId="0" xfId="0" applyProtection="1">
      <protection locked="0"/>
    </xf>
    <xf numFmtId="0" fontId="24" fillId="4" borderId="5" xfId="0" applyFont="1" applyFill="1" applyBorder="1" applyAlignment="1" applyProtection="1">
      <alignment horizontal="center"/>
      <protection locked="0"/>
    </xf>
    <xf numFmtId="0" fontId="24" fillId="4" borderId="3" xfId="0" applyFont="1" applyFill="1" applyBorder="1" applyAlignment="1" applyProtection="1">
      <alignment wrapText="1"/>
      <protection locked="0"/>
    </xf>
    <xf numFmtId="0" fontId="25" fillId="4" borderId="3" xfId="0" applyFont="1" applyFill="1" applyBorder="1" applyAlignment="1" applyProtection="1">
      <alignment horizontal="center"/>
      <protection locked="0"/>
    </xf>
    <xf numFmtId="0" fontId="25" fillId="4" borderId="6" xfId="0" applyFont="1" applyFill="1" applyBorder="1" applyAlignment="1" applyProtection="1">
      <alignment horizontal="center" vertical="top"/>
      <protection locked="0"/>
    </xf>
    <xf numFmtId="0" fontId="24" fillId="4" borderId="7" xfId="0" applyFont="1" applyFill="1" applyBorder="1" applyAlignment="1" applyProtection="1">
      <alignment horizontal="center"/>
      <protection locked="0"/>
    </xf>
    <xf numFmtId="0" fontId="25" fillId="4" borderId="0" xfId="0" applyFont="1" applyFill="1" applyAlignment="1" applyProtection="1">
      <alignment wrapText="1"/>
      <protection locked="0"/>
    </xf>
    <xf numFmtId="0" fontId="25" fillId="4" borderId="0" xfId="0" applyFont="1" applyFill="1" applyAlignment="1" applyProtection="1">
      <alignment horizontal="center"/>
      <protection locked="0"/>
    </xf>
    <xf numFmtId="0" fontId="25" fillId="4" borderId="8" xfId="0" applyFont="1" applyFill="1" applyBorder="1" applyAlignment="1" applyProtection="1">
      <alignment horizontal="center" vertical="top"/>
      <protection locked="0"/>
    </xf>
    <xf numFmtId="0" fontId="24" fillId="4" borderId="9" xfId="0" applyFont="1" applyFill="1" applyBorder="1" applyAlignment="1" applyProtection="1">
      <alignment horizontal="center"/>
      <protection locked="0"/>
    </xf>
    <xf numFmtId="0" fontId="25" fillId="4" borderId="4" xfId="0" applyFont="1" applyFill="1" applyBorder="1" applyAlignment="1" applyProtection="1">
      <alignment wrapText="1"/>
      <protection locked="0"/>
    </xf>
    <xf numFmtId="0" fontId="25" fillId="4" borderId="4" xfId="0" applyFont="1" applyFill="1" applyBorder="1" applyAlignment="1" applyProtection="1">
      <alignment horizontal="center"/>
      <protection locked="0"/>
    </xf>
    <xf numFmtId="0" fontId="25" fillId="4" borderId="10" xfId="0" applyFont="1" applyFill="1" applyBorder="1" applyAlignment="1" applyProtection="1">
      <alignment horizontal="center" vertical="top"/>
      <protection locked="0"/>
    </xf>
    <xf numFmtId="0" fontId="25" fillId="4" borderId="8" xfId="0" applyFont="1" applyFill="1" applyBorder="1" applyAlignment="1" applyProtection="1">
      <alignment horizontal="center"/>
      <protection locked="0"/>
    </xf>
    <xf numFmtId="0" fontId="26" fillId="9" borderId="11" xfId="0" applyFont="1" applyFill="1" applyBorder="1" applyProtection="1">
      <protection locked="0"/>
    </xf>
    <xf numFmtId="0" fontId="23" fillId="9" borderId="13" xfId="0" applyFont="1" applyFill="1" applyBorder="1" applyProtection="1">
      <protection locked="0"/>
    </xf>
    <xf numFmtId="0" fontId="23" fillId="9" borderId="13" xfId="0" applyFont="1" applyFill="1" applyBorder="1" applyAlignment="1" applyProtection="1">
      <alignment horizontal="center"/>
      <protection locked="0"/>
    </xf>
    <xf numFmtId="0" fontId="23" fillId="9" borderId="12" xfId="0" applyFont="1" applyFill="1" applyBorder="1" applyAlignment="1" applyProtection="1">
      <alignment horizontal="center" vertical="top"/>
      <protection locked="0"/>
    </xf>
    <xf numFmtId="0" fontId="0" fillId="0" borderId="0" xfId="0" applyAlignment="1" applyProtection="1">
      <alignment wrapText="1"/>
      <protection locked="0"/>
    </xf>
    <xf numFmtId="0" fontId="8" fillId="9" borderId="11" xfId="0" applyFont="1" applyFill="1" applyBorder="1" applyProtection="1">
      <protection locked="0"/>
    </xf>
    <xf numFmtId="0" fontId="8" fillId="0" borderId="5" xfId="0" applyFont="1" applyBorder="1" applyProtection="1">
      <protection locked="0"/>
    </xf>
    <xf numFmtId="0" fontId="8" fillId="0" borderId="14" xfId="0" applyFont="1" applyBorder="1" applyProtection="1">
      <protection locked="0"/>
    </xf>
    <xf numFmtId="0" fontId="8" fillId="0" borderId="14" xfId="0" applyFont="1" applyBorder="1" applyAlignment="1" applyProtection="1">
      <alignment horizontal="center" vertical="center"/>
      <protection locked="0"/>
    </xf>
    <xf numFmtId="165" fontId="8" fillId="0" borderId="14" xfId="1" applyNumberFormat="1" applyFont="1" applyBorder="1" applyAlignment="1" applyProtection="1">
      <alignment horizontal="center" vertical="center"/>
      <protection locked="0"/>
    </xf>
    <xf numFmtId="0" fontId="8" fillId="0" borderId="7" xfId="0" applyFont="1" applyBorder="1" applyProtection="1">
      <protection locked="0"/>
    </xf>
    <xf numFmtId="0" fontId="8" fillId="0" borderId="9" xfId="0" applyFont="1" applyBorder="1" applyProtection="1">
      <protection locked="0"/>
    </xf>
    <xf numFmtId="0" fontId="7" fillId="9" borderId="13" xfId="0" applyFont="1" applyFill="1" applyBorder="1" applyAlignment="1" applyProtection="1">
      <alignment horizontal="center"/>
      <protection locked="0"/>
    </xf>
    <xf numFmtId="0" fontId="7" fillId="9" borderId="12" xfId="0" applyFont="1" applyFill="1" applyBorder="1" applyAlignment="1" applyProtection="1">
      <alignment horizontal="center"/>
      <protection locked="0"/>
    </xf>
    <xf numFmtId="164" fontId="0" fillId="0" borderId="0" xfId="1" applyFont="1" applyProtection="1">
      <protection locked="0"/>
    </xf>
    <xf numFmtId="0" fontId="23" fillId="9" borderId="12" xfId="0" applyFont="1" applyFill="1" applyBorder="1" applyAlignment="1" applyProtection="1">
      <alignment horizontal="center"/>
      <protection locked="0"/>
    </xf>
    <xf numFmtId="0" fontId="23" fillId="9" borderId="11" xfId="0" applyFont="1" applyFill="1" applyBorder="1" applyAlignment="1" applyProtection="1">
      <alignment horizontal="center"/>
      <protection locked="0"/>
    </xf>
    <xf numFmtId="0" fontId="7" fillId="0" borderId="14" xfId="0" applyFont="1" applyBorder="1" applyProtection="1">
      <protection locked="0"/>
    </xf>
    <xf numFmtId="0" fontId="8" fillId="0" borderId="0" xfId="0" applyFont="1" applyProtection="1">
      <protection locked="0"/>
    </xf>
    <xf numFmtId="0" fontId="7" fillId="0" borderId="0" xfId="0" applyFont="1" applyProtection="1">
      <protection locked="0"/>
    </xf>
    <xf numFmtId="0" fontId="8" fillId="0" borderId="0" xfId="0" applyFont="1" applyAlignment="1" applyProtection="1">
      <alignment horizontal="center" vertical="center"/>
      <protection locked="0"/>
    </xf>
    <xf numFmtId="165" fontId="8" fillId="0" borderId="0" xfId="1" applyNumberFormat="1" applyFont="1" applyBorder="1" applyAlignment="1" applyProtection="1">
      <alignment horizontal="center" vertical="center"/>
      <protection locked="0"/>
    </xf>
    <xf numFmtId="0" fontId="8" fillId="6" borderId="15" xfId="0" applyFont="1" applyFill="1" applyBorder="1" applyAlignment="1">
      <alignment horizontal="center"/>
    </xf>
    <xf numFmtId="0" fontId="9" fillId="5" borderId="32" xfId="0" applyFont="1" applyFill="1" applyBorder="1"/>
    <xf numFmtId="0" fontId="9" fillId="5" borderId="33" xfId="0" applyFont="1" applyFill="1" applyBorder="1"/>
    <xf numFmtId="0" fontId="0" fillId="11" borderId="32" xfId="0" applyFill="1" applyBorder="1" applyAlignment="1">
      <alignment horizontal="center" vertical="center"/>
    </xf>
    <xf numFmtId="0" fontId="0" fillId="11" borderId="33" xfId="0" applyFill="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31" fillId="0" borderId="35" xfId="0" applyFont="1" applyBorder="1" applyAlignment="1">
      <alignment vertical="center" wrapText="1"/>
    </xf>
    <xf numFmtId="0" fontId="31" fillId="0" borderId="34" xfId="0" applyFont="1" applyBorder="1" applyAlignment="1">
      <alignment vertical="center" wrapText="1"/>
    </xf>
    <xf numFmtId="0" fontId="31" fillId="0" borderId="36" xfId="0" applyFont="1" applyBorder="1" applyAlignment="1">
      <alignment vertical="center" wrapText="1"/>
    </xf>
    <xf numFmtId="0" fontId="0" fillId="0" borderId="21" xfId="0" applyBorder="1" applyAlignment="1">
      <alignment horizontal="center" vertical="center"/>
    </xf>
    <xf numFmtId="0" fontId="32" fillId="12" borderId="34" xfId="0" applyFont="1" applyFill="1" applyBorder="1" applyAlignment="1">
      <alignment vertical="center"/>
    </xf>
    <xf numFmtId="0" fontId="32" fillId="12" borderId="20" xfId="0" applyFont="1" applyFill="1" applyBorder="1" applyAlignment="1">
      <alignment horizontal="center" vertical="center"/>
    </xf>
    <xf numFmtId="0" fontId="33" fillId="12" borderId="39" xfId="0" applyFont="1" applyFill="1" applyBorder="1" applyAlignment="1">
      <alignment horizontal="center" vertical="center"/>
    </xf>
    <xf numFmtId="0" fontId="33" fillId="12" borderId="20" xfId="0" applyFont="1" applyFill="1" applyBorder="1" applyAlignment="1">
      <alignment horizontal="center" vertical="center"/>
    </xf>
    <xf numFmtId="0" fontId="34" fillId="0" borderId="40" xfId="0" applyFont="1" applyBorder="1" applyAlignment="1">
      <alignment vertical="center"/>
    </xf>
    <xf numFmtId="0" fontId="34" fillId="13" borderId="34" xfId="0" applyFont="1" applyFill="1" applyBorder="1" applyAlignment="1">
      <alignment horizontal="center" vertical="center"/>
    </xf>
    <xf numFmtId="0" fontId="33" fillId="0" borderId="41" xfId="0" applyFont="1" applyBorder="1" applyAlignment="1">
      <alignment horizontal="center" vertical="center"/>
    </xf>
    <xf numFmtId="0" fontId="34" fillId="13" borderId="35" xfId="0" applyFont="1" applyFill="1" applyBorder="1" applyAlignment="1">
      <alignment horizontal="center" vertical="center"/>
    </xf>
    <xf numFmtId="0" fontId="33" fillId="0" borderId="35" xfId="0" applyFont="1" applyBorder="1" applyAlignment="1">
      <alignment vertical="center"/>
    </xf>
    <xf numFmtId="0" fontId="34" fillId="0" borderId="41" xfId="0" applyFont="1" applyBorder="1" applyAlignment="1">
      <alignment horizontal="center" vertical="center"/>
    </xf>
    <xf numFmtId="0" fontId="30" fillId="0" borderId="0" xfId="0" applyFont="1"/>
    <xf numFmtId="0" fontId="36" fillId="12" borderId="39" xfId="0" applyFont="1" applyFill="1" applyBorder="1" applyAlignment="1">
      <alignment horizontal="center" vertical="center"/>
    </xf>
    <xf numFmtId="0" fontId="32" fillId="12" borderId="39" xfId="0" applyFont="1" applyFill="1" applyBorder="1" applyAlignment="1">
      <alignment horizontal="center" vertical="center"/>
    </xf>
    <xf numFmtId="8" fontId="33" fillId="0" borderId="41" xfId="0" applyNumberFormat="1" applyFont="1" applyBorder="1" applyAlignment="1">
      <alignment vertical="center"/>
    </xf>
    <xf numFmtId="8" fontId="38" fillId="0" borderId="41" xfId="0" applyNumberFormat="1" applyFont="1" applyBorder="1" applyAlignment="1">
      <alignment vertical="center"/>
    </xf>
    <xf numFmtId="0" fontId="30" fillId="0" borderId="0" xfId="0" applyFont="1" applyAlignment="1">
      <alignment vertical="center"/>
    </xf>
    <xf numFmtId="0" fontId="9" fillId="5" borderId="4" xfId="0" applyFont="1" applyFill="1" applyBorder="1" applyAlignment="1">
      <alignment horizontal="center"/>
    </xf>
    <xf numFmtId="0" fontId="0" fillId="0" borderId="0" xfId="0" applyAlignment="1">
      <alignment horizontal="center"/>
    </xf>
    <xf numFmtId="165" fontId="8" fillId="6" borderId="0" xfId="1" applyNumberFormat="1" applyFont="1" applyFill="1" applyBorder="1" applyProtection="1"/>
    <xf numFmtId="0" fontId="0" fillId="0" borderId="46" xfId="0" applyBorder="1"/>
    <xf numFmtId="0" fontId="0" fillId="11" borderId="46" xfId="0" applyFill="1" applyBorder="1"/>
    <xf numFmtId="0" fontId="9" fillId="5" borderId="38" xfId="0" applyFont="1" applyFill="1" applyBorder="1"/>
    <xf numFmtId="0" fontId="0" fillId="0" borderId="47" xfId="0" applyBorder="1"/>
    <xf numFmtId="0" fontId="8" fillId="4" borderId="17" xfId="0" applyFont="1" applyFill="1" applyBorder="1" applyAlignment="1" applyProtection="1">
      <alignment horizontal="center" vertical="center"/>
      <protection locked="0"/>
    </xf>
    <xf numFmtId="0" fontId="9" fillId="5" borderId="15" xfId="0" applyFont="1" applyFill="1" applyBorder="1"/>
    <xf numFmtId="0" fontId="8" fillId="6" borderId="16" xfId="0" applyFont="1" applyFill="1" applyBorder="1" applyAlignment="1">
      <alignment horizontal="left" indent="1"/>
    </xf>
    <xf numFmtId="0" fontId="8" fillId="6" borderId="17" xfId="0" applyFont="1" applyFill="1" applyBorder="1" applyAlignment="1">
      <alignment horizontal="left" indent="1"/>
    </xf>
    <xf numFmtId="0" fontId="8" fillId="0" borderId="0" xfId="0" applyFont="1" applyAlignment="1">
      <alignment horizontal="left" indent="1"/>
    </xf>
    <xf numFmtId="0" fontId="8" fillId="6" borderId="7" xfId="0" applyFont="1" applyFill="1" applyBorder="1" applyAlignment="1">
      <alignment horizontal="left" wrapText="1" indent="1"/>
    </xf>
    <xf numFmtId="0" fontId="8" fillId="6" borderId="9" xfId="0" applyFont="1" applyFill="1" applyBorder="1" applyAlignment="1">
      <alignment horizontal="left" wrapText="1" indent="1"/>
    </xf>
    <xf numFmtId="0" fontId="9" fillId="5" borderId="5" xfId="0" applyFont="1" applyFill="1" applyBorder="1"/>
    <xf numFmtId="0" fontId="9" fillId="5" borderId="3" xfId="0" applyFont="1" applyFill="1" applyBorder="1"/>
    <xf numFmtId="0" fontId="9" fillId="5" borderId="6" xfId="0" applyFont="1" applyFill="1" applyBorder="1"/>
    <xf numFmtId="0" fontId="8" fillId="6" borderId="15" xfId="0" applyFont="1" applyFill="1" applyBorder="1" applyAlignment="1">
      <alignment horizontal="left" indent="1"/>
    </xf>
    <xf numFmtId="0" fontId="8" fillId="15" borderId="7" xfId="0" applyFont="1" applyFill="1" applyBorder="1" applyAlignment="1">
      <alignment horizontal="left" indent="1"/>
    </xf>
    <xf numFmtId="0" fontId="8" fillId="15" borderId="16" xfId="0" applyFont="1" applyFill="1" applyBorder="1" applyAlignment="1">
      <alignment horizontal="left" indent="1"/>
    </xf>
    <xf numFmtId="0" fontId="9" fillId="5" borderId="5"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48" xfId="0" applyFont="1" applyFill="1" applyBorder="1" applyAlignment="1">
      <alignment horizontal="center" vertical="center"/>
    </xf>
    <xf numFmtId="0" fontId="8" fillId="4" borderId="15" xfId="0" applyFont="1" applyFill="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0" fontId="9" fillId="5" borderId="9" xfId="0" applyFont="1" applyFill="1" applyBorder="1" applyAlignment="1">
      <alignment horizontal="center" vertical="center"/>
    </xf>
    <xf numFmtId="0" fontId="10" fillId="6" borderId="0" xfId="0" applyFont="1" applyFill="1" applyAlignment="1">
      <alignment horizontal="center" vertical="center"/>
    </xf>
    <xf numFmtId="0" fontId="10" fillId="6" borderId="4" xfId="0" applyFont="1" applyFill="1" applyBorder="1" applyAlignment="1">
      <alignment horizontal="center" vertical="center"/>
    </xf>
    <xf numFmtId="0" fontId="8" fillId="6" borderId="7" xfId="0" applyFont="1" applyFill="1" applyBorder="1" applyAlignment="1">
      <alignment horizontal="center" vertical="center"/>
    </xf>
    <xf numFmtId="0" fontId="11" fillId="7" borderId="6" xfId="0" applyFont="1" applyFill="1" applyBorder="1" applyAlignment="1">
      <alignment horizontal="center" vertical="center"/>
    </xf>
    <xf numFmtId="0" fontId="11" fillId="7" borderId="12" xfId="0" applyFont="1" applyFill="1" applyBorder="1" applyAlignment="1">
      <alignment horizontal="center" vertical="center"/>
    </xf>
    <xf numFmtId="0" fontId="9" fillId="5" borderId="0" xfId="0" applyFont="1" applyFill="1" applyAlignment="1">
      <alignment horizontal="center" vertical="center"/>
    </xf>
    <xf numFmtId="0" fontId="8" fillId="6" borderId="22" xfId="0" applyFont="1" applyFill="1" applyBorder="1" applyAlignment="1">
      <alignment horizontal="center" vertical="center"/>
    </xf>
    <xf numFmtId="0" fontId="8" fillId="15" borderId="7" xfId="0" applyFont="1" applyFill="1" applyBorder="1" applyAlignment="1">
      <alignment horizontal="center" vertical="center"/>
    </xf>
    <xf numFmtId="0" fontId="8" fillId="4" borderId="5"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1" fillId="7" borderId="15" xfId="0" applyFont="1" applyFill="1" applyBorder="1" applyAlignment="1">
      <alignment horizontal="center" vertical="center"/>
    </xf>
    <xf numFmtId="0" fontId="11" fillId="7" borderId="16" xfId="0" applyFont="1" applyFill="1" applyBorder="1" applyAlignment="1">
      <alignment horizontal="center" vertical="center"/>
    </xf>
    <xf numFmtId="0" fontId="11" fillId="7" borderId="17" xfId="0" applyFont="1" applyFill="1" applyBorder="1" applyAlignment="1">
      <alignment horizontal="center" vertical="center"/>
    </xf>
    <xf numFmtId="0" fontId="0" fillId="6" borderId="0" xfId="0" applyFill="1"/>
    <xf numFmtId="0" fontId="28" fillId="16" borderId="3" xfId="6" applyBorder="1" applyAlignment="1"/>
    <xf numFmtId="0" fontId="28" fillId="16" borderId="0" xfId="6" applyAlignment="1"/>
    <xf numFmtId="0" fontId="28" fillId="16" borderId="4" xfId="6" applyBorder="1" applyAlignment="1"/>
    <xf numFmtId="0" fontId="0" fillId="0" borderId="0" xfId="0" applyAlignment="1">
      <alignment horizontal="left"/>
    </xf>
    <xf numFmtId="0" fontId="8" fillId="6" borderId="5" xfId="0" applyFont="1" applyFill="1" applyBorder="1" applyAlignment="1">
      <alignment horizontal="left" wrapText="1" indent="1"/>
    </xf>
    <xf numFmtId="49" fontId="0" fillId="0" borderId="46" xfId="0" applyNumberFormat="1" applyBorder="1" applyAlignment="1">
      <alignment horizontal="center"/>
    </xf>
    <xf numFmtId="49" fontId="0" fillId="0" borderId="46" xfId="0" applyNumberFormat="1" applyBorder="1"/>
    <xf numFmtId="49" fontId="0" fillId="11" borderId="46" xfId="0" applyNumberFormat="1" applyFill="1" applyBorder="1"/>
    <xf numFmtId="49" fontId="0" fillId="0" borderId="47" xfId="0" applyNumberFormat="1" applyBorder="1"/>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8" fillId="4" borderId="4"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9" fillId="5" borderId="22" xfId="0" applyFont="1" applyFill="1" applyBorder="1" applyAlignment="1">
      <alignment horizontal="center" vertical="center"/>
    </xf>
    <xf numFmtId="0" fontId="8" fillId="6" borderId="15" xfId="0" applyFont="1" applyFill="1" applyBorder="1" applyAlignment="1">
      <alignment horizontal="center" vertical="center"/>
    </xf>
    <xf numFmtId="0" fontId="8" fillId="6" borderId="16" xfId="0" applyFont="1" applyFill="1" applyBorder="1" applyAlignment="1">
      <alignment horizontal="center" vertical="center"/>
    </xf>
    <xf numFmtId="0" fontId="8" fillId="6" borderId="17" xfId="0" applyFont="1" applyFill="1" applyBorder="1" applyAlignment="1">
      <alignment horizontal="center" vertical="center"/>
    </xf>
    <xf numFmtId="49" fontId="0" fillId="0" borderId="0" xfId="0" applyNumberFormat="1" applyAlignment="1">
      <alignment horizontal="center"/>
    </xf>
    <xf numFmtId="49" fontId="0" fillId="0" borderId="0" xfId="0" applyNumberFormat="1"/>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7" fillId="6" borderId="15" xfId="0" applyFont="1" applyFill="1" applyBorder="1" applyAlignment="1">
      <alignment horizontal="left" indent="1"/>
    </xf>
    <xf numFmtId="0" fontId="7" fillId="6" borderId="15" xfId="0" applyFont="1" applyFill="1" applyBorder="1" applyAlignment="1">
      <alignment horizontal="left" wrapText="1" indent="1"/>
    </xf>
    <xf numFmtId="0" fontId="0" fillId="0" borderId="16" xfId="0" applyBorder="1"/>
    <xf numFmtId="0" fontId="8" fillId="0" borderId="9" xfId="0" applyFont="1" applyBorder="1" applyAlignment="1">
      <alignment horizontal="center" vertical="center"/>
    </xf>
    <xf numFmtId="0" fontId="0" fillId="0" borderId="0" xfId="0" applyAlignment="1">
      <alignment vertical="center"/>
    </xf>
    <xf numFmtId="0" fontId="6" fillId="5" borderId="0" xfId="0" applyFont="1" applyFill="1"/>
    <xf numFmtId="0" fontId="0" fillId="0" borderId="0" xfId="0" applyAlignment="1">
      <alignment horizontal="left" vertical="center" indent="1"/>
    </xf>
    <xf numFmtId="0" fontId="0" fillId="19" borderId="0" xfId="0" applyFill="1"/>
    <xf numFmtId="0" fontId="6" fillId="19" borderId="0" xfId="0" applyFont="1" applyFill="1"/>
    <xf numFmtId="0" fontId="0" fillId="19" borderId="0" xfId="0" applyFill="1" applyAlignment="1">
      <alignment wrapText="1"/>
    </xf>
    <xf numFmtId="0" fontId="6" fillId="0" borderId="0" xfId="0" applyFont="1" applyAlignment="1">
      <alignment horizontal="left"/>
    </xf>
    <xf numFmtId="0" fontId="0" fillId="0" borderId="18" xfId="0" applyBorder="1"/>
    <xf numFmtId="0" fontId="6" fillId="0" borderId="19" xfId="0" applyFont="1" applyBorder="1" applyAlignment="1">
      <alignment horizontal="left"/>
    </xf>
    <xf numFmtId="0" fontId="0" fillId="0" borderId="19" xfId="0" applyBorder="1" applyAlignment="1">
      <alignment horizontal="center"/>
    </xf>
    <xf numFmtId="0" fontId="0" fillId="0" borderId="20" xfId="0" applyBorder="1"/>
    <xf numFmtId="0" fontId="0" fillId="0" borderId="21" xfId="0" applyBorder="1"/>
    <xf numFmtId="0" fontId="0" fillId="0" borderId="22" xfId="0" applyBorder="1"/>
    <xf numFmtId="0" fontId="48" fillId="0" borderId="0" xfId="0" applyFont="1"/>
    <xf numFmtId="0" fontId="0" fillId="0" borderId="40" xfId="0" applyBorder="1"/>
    <xf numFmtId="0" fontId="0" fillId="0" borderId="41" xfId="0" applyBorder="1"/>
    <xf numFmtId="0" fontId="0" fillId="0" borderId="49" xfId="0" applyBorder="1" applyAlignment="1">
      <alignment horizontal="left"/>
    </xf>
    <xf numFmtId="0" fontId="0" fillId="0" borderId="49" xfId="0" applyBorder="1"/>
    <xf numFmtId="0" fontId="0" fillId="0" borderId="0" xfId="0" applyAlignment="1">
      <alignment wrapText="1"/>
    </xf>
    <xf numFmtId="0" fontId="0" fillId="0" borderId="36" xfId="0" applyBorder="1"/>
    <xf numFmtId="0" fontId="0" fillId="0" borderId="19" xfId="0" applyBorder="1"/>
    <xf numFmtId="0" fontId="0" fillId="0" borderId="49" xfId="0" applyBorder="1" applyAlignment="1">
      <alignment horizontal="center"/>
    </xf>
    <xf numFmtId="0" fontId="6" fillId="0" borderId="19" xfId="0" applyFont="1" applyBorder="1"/>
    <xf numFmtId="0" fontId="0" fillId="0" borderId="42" xfId="0" applyBorder="1"/>
    <xf numFmtId="0" fontId="0" fillId="0" borderId="34" xfId="0" pivotButton="1" applyBorder="1"/>
    <xf numFmtId="0" fontId="0" fillId="0" borderId="34" xfId="0" applyBorder="1" applyAlignment="1">
      <alignment horizontal="left"/>
    </xf>
    <xf numFmtId="0" fontId="0" fillId="0" borderId="42" xfId="0" applyBorder="1" applyAlignment="1">
      <alignment horizontal="left"/>
    </xf>
    <xf numFmtId="0" fontId="0" fillId="0" borderId="36" xfId="0" applyBorder="1" applyAlignment="1">
      <alignment horizontal="left"/>
    </xf>
    <xf numFmtId="0" fontId="0" fillId="0" borderId="34" xfId="0" applyBorder="1" applyAlignment="1">
      <alignment horizontal="center" vertical="center"/>
    </xf>
    <xf numFmtId="0" fontId="0" fillId="0" borderId="34" xfId="0" applyBorder="1"/>
    <xf numFmtId="0" fontId="0" fillId="0" borderId="39" xfId="0" applyBorder="1" applyAlignment="1">
      <alignment horizontal="center"/>
    </xf>
    <xf numFmtId="0" fontId="6" fillId="0" borderId="34" xfId="0" applyFont="1" applyBorder="1" applyAlignment="1">
      <alignment horizontal="left"/>
    </xf>
    <xf numFmtId="0" fontId="6" fillId="0" borderId="35" xfId="0" applyFont="1" applyBorder="1" applyAlignment="1">
      <alignment horizontal="left"/>
    </xf>
    <xf numFmtId="0" fontId="6" fillId="0" borderId="0" xfId="0" applyFont="1" applyAlignment="1">
      <alignment horizontal="left" wrapText="1"/>
    </xf>
    <xf numFmtId="0" fontId="6" fillId="0" borderId="0" xfId="0" applyFont="1"/>
    <xf numFmtId="0" fontId="42" fillId="20" borderId="14" xfId="0" applyFont="1" applyFill="1" applyBorder="1" applyAlignment="1">
      <alignment vertical="center"/>
    </xf>
    <xf numFmtId="0" fontId="0" fillId="0" borderId="14" xfId="0" applyBorder="1" applyAlignment="1">
      <alignment vertical="center"/>
    </xf>
    <xf numFmtId="0" fontId="49" fillId="17" borderId="14" xfId="0" applyFont="1" applyFill="1" applyBorder="1" applyAlignment="1">
      <alignment vertical="center" wrapText="1"/>
    </xf>
    <xf numFmtId="0" fontId="6" fillId="17" borderId="14" xfId="0" applyFont="1" applyFill="1" applyBorder="1" applyAlignment="1">
      <alignment vertical="center" wrapText="1"/>
    </xf>
    <xf numFmtId="0" fontId="49" fillId="6" borderId="14" xfId="0" applyFont="1" applyFill="1" applyBorder="1" applyAlignment="1">
      <alignment vertical="center" wrapText="1"/>
    </xf>
    <xf numFmtId="0" fontId="42" fillId="20" borderId="50" xfId="0" applyFont="1" applyFill="1" applyBorder="1" applyAlignment="1">
      <alignment vertical="center"/>
    </xf>
    <xf numFmtId="3" fontId="0" fillId="0" borderId="14" xfId="0" applyNumberFormat="1" applyBorder="1" applyAlignment="1">
      <alignment horizontal="left" vertical="center"/>
    </xf>
    <xf numFmtId="3" fontId="49" fillId="6" borderId="14" xfId="0" applyNumberFormat="1" applyFont="1" applyFill="1" applyBorder="1" applyAlignment="1">
      <alignment vertical="center" wrapText="1"/>
    </xf>
    <xf numFmtId="0" fontId="49" fillId="6" borderId="14" xfId="0" applyFont="1" applyFill="1" applyBorder="1" applyAlignment="1">
      <alignment horizontal="right" vertical="center" wrapText="1"/>
    </xf>
    <xf numFmtId="0" fontId="49" fillId="17" borderId="14" xfId="0" applyFont="1" applyFill="1" applyBorder="1" applyAlignment="1">
      <alignment horizontal="right" vertical="center" wrapText="1"/>
    </xf>
    <xf numFmtId="3" fontId="49" fillId="6" borderId="14" xfId="0" applyNumberFormat="1" applyFont="1" applyFill="1" applyBorder="1" applyAlignment="1">
      <alignment horizontal="right" vertical="center" wrapText="1"/>
    </xf>
    <xf numFmtId="0" fontId="6" fillId="6" borderId="14" xfId="0" applyFont="1" applyFill="1" applyBorder="1" applyAlignment="1">
      <alignment horizontal="right" vertical="center" wrapText="1"/>
    </xf>
    <xf numFmtId="0" fontId="0" fillId="0" borderId="14" xfId="0" applyBorder="1"/>
    <xf numFmtId="168" fontId="0" fillId="0" borderId="14" xfId="0" applyNumberFormat="1" applyBorder="1" applyAlignment="1">
      <alignment horizontal="left" vertical="center"/>
    </xf>
    <xf numFmtId="0" fontId="0" fillId="0" borderId="14" xfId="0" applyBorder="1" applyAlignment="1">
      <alignment horizontal="left" vertical="center"/>
    </xf>
    <xf numFmtId="168" fontId="0" fillId="0" borderId="14" xfId="0" applyNumberFormat="1" applyBorder="1" applyAlignment="1">
      <alignment horizontal="left"/>
    </xf>
    <xf numFmtId="169" fontId="0" fillId="0" borderId="14" xfId="1" applyNumberFormat="1" applyFont="1" applyBorder="1" applyAlignment="1">
      <alignment vertical="center"/>
    </xf>
    <xf numFmtId="9" fontId="0" fillId="0" borderId="0" xfId="0" applyNumberFormat="1" applyAlignment="1">
      <alignment vertical="center"/>
    </xf>
    <xf numFmtId="168" fontId="0" fillId="0" borderId="0" xfId="0" applyNumberFormat="1" applyAlignment="1">
      <alignment horizontal="left" vertical="center"/>
    </xf>
    <xf numFmtId="0" fontId="49" fillId="6" borderId="14" xfId="0" applyFont="1" applyFill="1" applyBorder="1" applyAlignment="1">
      <alignment horizontal="left" vertical="center" wrapText="1"/>
    </xf>
    <xf numFmtId="0" fontId="52" fillId="6" borderId="14" xfId="0" applyFont="1" applyFill="1" applyBorder="1" applyAlignment="1">
      <alignment horizontal="center" vertical="center"/>
    </xf>
    <xf numFmtId="0" fontId="53" fillId="20" borderId="14" xfId="0" applyFont="1" applyFill="1" applyBorder="1" applyAlignment="1">
      <alignment horizontal="center" vertical="center"/>
    </xf>
    <xf numFmtId="0" fontId="6" fillId="18" borderId="0" xfId="0" applyFont="1" applyFill="1" applyAlignment="1">
      <alignment horizontal="left" wrapText="1"/>
    </xf>
    <xf numFmtId="0" fontId="50" fillId="20" borderId="11" xfId="0" applyFont="1" applyFill="1" applyBorder="1" applyAlignment="1">
      <alignment horizontal="center" vertical="center"/>
    </xf>
    <xf numFmtId="0" fontId="50" fillId="20" borderId="12" xfId="0" applyFont="1" applyFill="1" applyBorder="1" applyAlignment="1">
      <alignment horizontal="center" vertical="center"/>
    </xf>
    <xf numFmtId="0" fontId="51" fillId="6" borderId="14" xfId="0" applyFont="1" applyFill="1" applyBorder="1" applyAlignment="1">
      <alignment horizontal="center" vertical="center"/>
    </xf>
    <xf numFmtId="0" fontId="52" fillId="6" borderId="11" xfId="0" applyFont="1" applyFill="1" applyBorder="1" applyAlignment="1">
      <alignment horizontal="center" vertical="center"/>
    </xf>
    <xf numFmtId="0" fontId="52" fillId="6" borderId="13" xfId="0" applyFont="1" applyFill="1" applyBorder="1" applyAlignment="1">
      <alignment horizontal="center" vertical="center"/>
    </xf>
    <xf numFmtId="0" fontId="52" fillId="6" borderId="12" xfId="0" applyFont="1" applyFill="1" applyBorder="1" applyAlignment="1">
      <alignment horizontal="center" vertical="center"/>
    </xf>
    <xf numFmtId="0" fontId="53" fillId="20" borderId="11" xfId="0" applyFont="1" applyFill="1" applyBorder="1" applyAlignment="1">
      <alignment horizontal="center" vertical="center"/>
    </xf>
    <xf numFmtId="0" fontId="53" fillId="20" borderId="13" xfId="0" applyFont="1" applyFill="1" applyBorder="1" applyAlignment="1">
      <alignment horizontal="center" vertical="center"/>
    </xf>
    <xf numFmtId="0" fontId="53" fillId="20" borderId="12" xfId="0" applyFont="1" applyFill="1" applyBorder="1" applyAlignment="1">
      <alignment horizontal="center" vertical="center"/>
    </xf>
    <xf numFmtId="0" fontId="53" fillId="20" borderId="14" xfId="0" applyFont="1" applyFill="1" applyBorder="1" applyAlignment="1">
      <alignment horizontal="center" vertical="center" wrapText="1"/>
    </xf>
    <xf numFmtId="0" fontId="14" fillId="8" borderId="19" xfId="0" applyFont="1" applyFill="1" applyBorder="1" applyAlignment="1">
      <alignment horizontal="center"/>
    </xf>
    <xf numFmtId="0" fontId="13" fillId="8" borderId="5" xfId="0" applyFont="1" applyFill="1" applyBorder="1" applyAlignment="1">
      <alignment horizontal="center"/>
    </xf>
    <xf numFmtId="0" fontId="13" fillId="8" borderId="3" xfId="0" applyFont="1" applyFill="1" applyBorder="1" applyAlignment="1">
      <alignment horizontal="center"/>
    </xf>
    <xf numFmtId="0" fontId="13" fillId="8" borderId="6" xfId="0" applyFont="1" applyFill="1" applyBorder="1" applyAlignment="1">
      <alignment horizontal="center"/>
    </xf>
    <xf numFmtId="0" fontId="8" fillId="6" borderId="7" xfId="0" applyFont="1" applyFill="1" applyBorder="1" applyAlignment="1">
      <alignment horizontal="left" vertical="top" wrapText="1"/>
    </xf>
    <xf numFmtId="0" fontId="8" fillId="6" borderId="0" xfId="0" applyFont="1" applyFill="1" applyAlignment="1">
      <alignment horizontal="left" vertical="top" wrapText="1"/>
    </xf>
    <xf numFmtId="0" fontId="8" fillId="6" borderId="8" xfId="0" applyFont="1" applyFill="1" applyBorder="1" applyAlignment="1">
      <alignment horizontal="left" vertical="top" wrapText="1"/>
    </xf>
    <xf numFmtId="0" fontId="8" fillId="6" borderId="9" xfId="0" applyFont="1" applyFill="1" applyBorder="1" applyAlignment="1">
      <alignment horizontal="left" vertical="top" wrapText="1"/>
    </xf>
    <xf numFmtId="0" fontId="8" fillId="6" borderId="4" xfId="0" applyFont="1" applyFill="1" applyBorder="1" applyAlignment="1">
      <alignment horizontal="left" vertical="top" wrapText="1"/>
    </xf>
    <xf numFmtId="0" fontId="8" fillId="6" borderId="10" xfId="0" applyFont="1" applyFill="1" applyBorder="1" applyAlignment="1">
      <alignment horizontal="left" vertical="top" wrapText="1"/>
    </xf>
    <xf numFmtId="0" fontId="9" fillId="5" borderId="28" xfId="0" applyFont="1" applyFill="1" applyBorder="1"/>
    <xf numFmtId="0" fontId="10" fillId="6" borderId="0" xfId="0" applyFont="1" applyFill="1" applyAlignment="1">
      <alignment horizontal="center" vertical="center"/>
    </xf>
    <xf numFmtId="0" fontId="9" fillId="5" borderId="13" xfId="0" applyFont="1" applyFill="1" applyBorder="1" applyAlignment="1">
      <alignment horizontal="center"/>
    </xf>
    <xf numFmtId="0" fontId="8" fillId="6" borderId="3" xfId="0" applyFont="1" applyFill="1" applyBorder="1" applyAlignment="1">
      <alignment horizontal="center" vertical="center"/>
    </xf>
    <xf numFmtId="0" fontId="9" fillId="5" borderId="24" xfId="0" applyFont="1" applyFill="1" applyBorder="1" applyAlignment="1">
      <alignment horizontal="center"/>
    </xf>
    <xf numFmtId="0" fontId="10" fillId="6" borderId="4" xfId="0" applyFont="1" applyFill="1" applyBorder="1" applyAlignment="1">
      <alignment horizontal="center" vertical="center"/>
    </xf>
    <xf numFmtId="0" fontId="9" fillId="5" borderId="27" xfId="0" applyFont="1" applyFill="1" applyBorder="1" applyAlignment="1">
      <alignment horizontal="center"/>
    </xf>
    <xf numFmtId="0" fontId="9" fillId="5" borderId="28" xfId="0" applyFont="1" applyFill="1" applyBorder="1" applyAlignment="1">
      <alignment horizontal="center"/>
    </xf>
    <xf numFmtId="0" fontId="43" fillId="6" borderId="14" xfId="0" applyFont="1" applyFill="1" applyBorder="1" applyAlignment="1">
      <alignment horizontal="left" wrapText="1"/>
    </xf>
    <xf numFmtId="0" fontId="45" fillId="6" borderId="14" xfId="0" applyFont="1" applyFill="1" applyBorder="1" applyAlignment="1">
      <alignment horizontal="left" wrapText="1"/>
    </xf>
    <xf numFmtId="0" fontId="43" fillId="6" borderId="11" xfId="0" applyFont="1" applyFill="1" applyBorder="1" applyAlignment="1">
      <alignment horizontal="left" wrapText="1"/>
    </xf>
    <xf numFmtId="0" fontId="43" fillId="6" borderId="13" xfId="0" applyFont="1" applyFill="1" applyBorder="1" applyAlignment="1">
      <alignment horizontal="left" wrapText="1"/>
    </xf>
    <xf numFmtId="0" fontId="43" fillId="6" borderId="12" xfId="0" applyFont="1" applyFill="1" applyBorder="1" applyAlignment="1">
      <alignment horizontal="left" wrapText="1"/>
    </xf>
    <xf numFmtId="0" fontId="43" fillId="6" borderId="11" xfId="0" applyFont="1" applyFill="1" applyBorder="1" applyAlignment="1">
      <alignment horizontal="left" vertical="center" wrapText="1"/>
    </xf>
    <xf numFmtId="0" fontId="43" fillId="6" borderId="13" xfId="0" applyFont="1" applyFill="1" applyBorder="1" applyAlignment="1">
      <alignment horizontal="left" vertical="center" wrapText="1"/>
    </xf>
    <xf numFmtId="0" fontId="43" fillId="6" borderId="12" xfId="0" applyFont="1" applyFill="1" applyBorder="1" applyAlignment="1">
      <alignment horizontal="left" vertical="center" wrapText="1"/>
    </xf>
    <xf numFmtId="0" fontId="0" fillId="6" borderId="14" xfId="0" applyFill="1" applyBorder="1" applyAlignment="1">
      <alignment horizontal="center"/>
    </xf>
    <xf numFmtId="0" fontId="40" fillId="9" borderId="14" xfId="0" applyFont="1" applyFill="1" applyBorder="1" applyAlignment="1">
      <alignment horizontal="center"/>
    </xf>
    <xf numFmtId="0" fontId="6" fillId="6" borderId="4" xfId="0" applyFont="1" applyFill="1" applyBorder="1" applyAlignment="1">
      <alignment horizontal="center"/>
    </xf>
    <xf numFmtId="0" fontId="41" fillId="6" borderId="14" xfId="0" applyFont="1" applyFill="1" applyBorder="1" applyAlignment="1">
      <alignment horizontal="center" wrapText="1"/>
    </xf>
    <xf numFmtId="0" fontId="42" fillId="9" borderId="0" xfId="0" applyFont="1" applyFill="1" applyAlignment="1">
      <alignment horizontal="center"/>
    </xf>
    <xf numFmtId="0" fontId="43" fillId="4" borderId="14" xfId="0" applyFont="1" applyFill="1" applyBorder="1" applyAlignment="1">
      <alignment horizontal="left" wrapText="1"/>
    </xf>
    <xf numFmtId="0" fontId="47" fillId="6" borderId="14" xfId="0" applyFont="1" applyFill="1" applyBorder="1" applyAlignment="1">
      <alignment horizontal="left" wrapText="1"/>
    </xf>
    <xf numFmtId="0" fontId="44" fillId="6" borderId="14" xfId="0" applyFont="1" applyFill="1" applyBorder="1" applyAlignment="1">
      <alignment horizontal="left" wrapText="1"/>
    </xf>
    <xf numFmtId="0" fontId="43" fillId="4" borderId="11" xfId="0" applyFont="1" applyFill="1" applyBorder="1" applyAlignment="1">
      <alignment horizontal="left" wrapText="1"/>
    </xf>
    <xf numFmtId="0" fontId="43" fillId="4" borderId="13" xfId="0" applyFont="1" applyFill="1" applyBorder="1" applyAlignment="1">
      <alignment horizontal="left" wrapText="1"/>
    </xf>
    <xf numFmtId="0" fontId="43" fillId="4" borderId="12" xfId="0" applyFont="1" applyFill="1" applyBorder="1" applyAlignment="1">
      <alignment horizontal="left" wrapText="1"/>
    </xf>
    <xf numFmtId="0" fontId="45" fillId="6" borderId="11" xfId="0" applyFont="1" applyFill="1" applyBorder="1" applyAlignment="1">
      <alignment horizontal="left" wrapText="1"/>
    </xf>
    <xf numFmtId="0" fontId="46" fillId="9" borderId="11" xfId="0" applyFont="1" applyFill="1" applyBorder="1" applyAlignment="1">
      <alignment horizontal="center"/>
    </xf>
    <xf numFmtId="0" fontId="46" fillId="9" borderId="13" xfId="0" applyFont="1" applyFill="1" applyBorder="1" applyAlignment="1">
      <alignment horizontal="center"/>
    </xf>
    <xf numFmtId="0" fontId="46" fillId="9" borderId="12" xfId="0" applyFont="1" applyFill="1" applyBorder="1" applyAlignment="1">
      <alignment horizontal="center"/>
    </xf>
    <xf numFmtId="0" fontId="41" fillId="4" borderId="14" xfId="0" applyFont="1" applyFill="1" applyBorder="1" applyAlignment="1">
      <alignment horizontal="center"/>
    </xf>
    <xf numFmtId="0" fontId="41" fillId="6" borderId="14" xfId="0" applyFont="1" applyFill="1" applyBorder="1" applyAlignment="1">
      <alignment horizontal="center"/>
    </xf>
    <xf numFmtId="0" fontId="0" fillId="4" borderId="5" xfId="0" applyFill="1" applyBorder="1" applyAlignment="1" applyProtection="1">
      <alignment horizontal="left"/>
      <protection locked="0"/>
    </xf>
    <xf numFmtId="0" fontId="0" fillId="4" borderId="6" xfId="0" applyFill="1" applyBorder="1" applyAlignment="1" applyProtection="1">
      <alignment horizontal="left"/>
      <protection locked="0"/>
    </xf>
    <xf numFmtId="0" fontId="0" fillId="4" borderId="9" xfId="0" applyFill="1" applyBorder="1" applyAlignment="1" applyProtection="1">
      <alignment horizontal="left"/>
      <protection locked="0"/>
    </xf>
    <xf numFmtId="0" fontId="0" fillId="4" borderId="10" xfId="0" applyFill="1" applyBorder="1" applyAlignment="1" applyProtection="1">
      <alignment horizontal="left"/>
      <protection locked="0"/>
    </xf>
    <xf numFmtId="0" fontId="0" fillId="4" borderId="7" xfId="0" applyFill="1" applyBorder="1" applyAlignment="1" applyProtection="1">
      <alignment horizontal="left"/>
      <protection locked="0"/>
    </xf>
    <xf numFmtId="0" fontId="0" fillId="4" borderId="8" xfId="0" applyFill="1" applyBorder="1" applyAlignment="1" applyProtection="1">
      <alignment horizontal="left"/>
      <protection locked="0"/>
    </xf>
    <xf numFmtId="0" fontId="0" fillId="9" borderId="11" xfId="0" applyFill="1" applyBorder="1" applyAlignment="1" applyProtection="1">
      <alignment horizontal="left"/>
      <protection locked="0"/>
    </xf>
    <xf numFmtId="0" fontId="0" fillId="9" borderId="12" xfId="0" applyFill="1" applyBorder="1" applyAlignment="1" applyProtection="1">
      <alignment horizontal="left"/>
      <protection locked="0"/>
    </xf>
    <xf numFmtId="0" fontId="29" fillId="4" borderId="7" xfId="0" applyFont="1" applyFill="1" applyBorder="1" applyAlignment="1" applyProtection="1">
      <alignment horizontal="left"/>
      <protection locked="0"/>
    </xf>
    <xf numFmtId="0" fontId="29" fillId="4" borderId="8" xfId="0" applyFont="1" applyFill="1" applyBorder="1" applyAlignment="1" applyProtection="1">
      <alignment horizontal="left"/>
      <protection locked="0"/>
    </xf>
    <xf numFmtId="0" fontId="29" fillId="4" borderId="5" xfId="0" applyFont="1" applyFill="1" applyBorder="1" applyAlignment="1" applyProtection="1">
      <alignment horizontal="left"/>
      <protection locked="0"/>
    </xf>
    <xf numFmtId="0" fontId="29" fillId="4" borderId="6" xfId="0" applyFont="1" applyFill="1" applyBorder="1" applyAlignment="1" applyProtection="1">
      <alignment horizontal="left"/>
      <protection locked="0"/>
    </xf>
    <xf numFmtId="0" fontId="29" fillId="4" borderId="9" xfId="0" applyFont="1" applyFill="1" applyBorder="1" applyAlignment="1" applyProtection="1">
      <alignment horizontal="left"/>
      <protection locked="0"/>
    </xf>
    <xf numFmtId="0" fontId="29" fillId="4" borderId="10" xfId="0" applyFont="1" applyFill="1" applyBorder="1" applyAlignment="1" applyProtection="1">
      <alignment horizontal="left"/>
      <protection locked="0"/>
    </xf>
    <xf numFmtId="0" fontId="27" fillId="9" borderId="7" xfId="0" applyFont="1" applyFill="1" applyBorder="1" applyAlignment="1" applyProtection="1">
      <alignment horizontal="center"/>
      <protection locked="0"/>
    </xf>
    <xf numFmtId="0" fontId="27" fillId="9" borderId="0" xfId="0" applyFont="1" applyFill="1" applyAlignment="1" applyProtection="1">
      <alignment horizontal="center"/>
      <protection locked="0"/>
    </xf>
    <xf numFmtId="0" fontId="6" fillId="0" borderId="0" xfId="0" applyFont="1" applyAlignment="1">
      <alignment horizontal="center"/>
    </xf>
    <xf numFmtId="0" fontId="9" fillId="5" borderId="0" xfId="0" applyFont="1" applyFill="1" applyAlignment="1">
      <alignment horizontal="center"/>
    </xf>
    <xf numFmtId="0" fontId="0" fillId="0" borderId="0" xfId="0" applyAlignment="1">
      <alignment horizontal="center"/>
    </xf>
    <xf numFmtId="0" fontId="9" fillId="5" borderId="5" xfId="0" applyFont="1" applyFill="1" applyBorder="1" applyAlignment="1">
      <alignment horizontal="center"/>
    </xf>
    <xf numFmtId="0" fontId="9" fillId="5" borderId="3" xfId="0" applyFont="1" applyFill="1" applyBorder="1" applyAlignment="1">
      <alignment horizontal="center"/>
    </xf>
    <xf numFmtId="0" fontId="21" fillId="0" borderId="0" xfId="0" applyFont="1" applyAlignment="1">
      <alignment horizontal="center"/>
    </xf>
    <xf numFmtId="0" fontId="22" fillId="0" borderId="0" xfId="0" applyFont="1" applyAlignment="1">
      <alignment horizontal="center"/>
    </xf>
    <xf numFmtId="0" fontId="9" fillId="5" borderId="37" xfId="0" applyFont="1" applyFill="1" applyBorder="1" applyAlignment="1">
      <alignment horizontal="center"/>
    </xf>
    <xf numFmtId="0" fontId="9" fillId="5" borderId="38" xfId="0" applyFont="1" applyFill="1" applyBorder="1" applyAlignment="1">
      <alignment horizontal="center"/>
    </xf>
    <xf numFmtId="0" fontId="32" fillId="0" borderId="42" xfId="0" applyFont="1" applyBorder="1" applyAlignment="1">
      <alignment horizontal="center" vertical="center"/>
    </xf>
    <xf numFmtId="0" fontId="32" fillId="0" borderId="43" xfId="0" applyFont="1" applyBorder="1" applyAlignment="1">
      <alignment horizontal="center" vertical="center"/>
    </xf>
    <xf numFmtId="0" fontId="35" fillId="14" borderId="42" xfId="0" applyFont="1" applyFill="1" applyBorder="1" applyAlignment="1">
      <alignment horizontal="center" vertical="center"/>
    </xf>
    <xf numFmtId="0" fontId="35" fillId="14" borderId="43" xfId="0" applyFont="1" applyFill="1" applyBorder="1" applyAlignment="1">
      <alignment horizontal="center" vertical="center"/>
    </xf>
    <xf numFmtId="0" fontId="36" fillId="12" borderId="44" xfId="0" applyFont="1" applyFill="1" applyBorder="1" applyAlignment="1">
      <alignment horizontal="center" vertical="center" wrapText="1"/>
    </xf>
    <xf numFmtId="0" fontId="36" fillId="12" borderId="45" xfId="0" applyFont="1" applyFill="1" applyBorder="1" applyAlignment="1">
      <alignment horizontal="center" vertical="center" wrapText="1"/>
    </xf>
    <xf numFmtId="8" fontId="32" fillId="14" borderId="42" xfId="0" applyNumberFormat="1" applyFont="1" applyFill="1" applyBorder="1" applyAlignment="1">
      <alignment horizontal="center" vertical="center"/>
    </xf>
    <xf numFmtId="8" fontId="32" fillId="14" borderId="36" xfId="0" applyNumberFormat="1" applyFont="1" applyFill="1" applyBorder="1" applyAlignment="1">
      <alignment horizontal="center" vertical="center"/>
    </xf>
    <xf numFmtId="8" fontId="32" fillId="14" borderId="43" xfId="0" applyNumberFormat="1" applyFont="1" applyFill="1" applyBorder="1" applyAlignment="1">
      <alignment horizontal="center" vertical="center"/>
    </xf>
    <xf numFmtId="0" fontId="37" fillId="0" borderId="44" xfId="0" applyFont="1" applyBorder="1" applyAlignment="1">
      <alignment vertical="center"/>
    </xf>
    <xf numFmtId="0" fontId="37" fillId="0" borderId="45" xfId="0" applyFont="1" applyBorder="1" applyAlignment="1">
      <alignment vertical="center"/>
    </xf>
    <xf numFmtId="0" fontId="33" fillId="0" borderId="42" xfId="0" applyFont="1" applyBorder="1" applyAlignment="1">
      <alignment horizontal="center" vertical="center"/>
    </xf>
    <xf numFmtId="0" fontId="33" fillId="0" borderId="35" xfId="0" applyFont="1" applyBorder="1" applyAlignment="1">
      <alignment horizontal="center" vertical="center"/>
    </xf>
    <xf numFmtId="0" fontId="34" fillId="13" borderId="42" xfId="0" applyFont="1" applyFill="1" applyBorder="1" applyAlignment="1">
      <alignment horizontal="center" vertical="center"/>
    </xf>
    <xf numFmtId="0" fontId="34" fillId="13" borderId="43" xfId="0" applyFont="1" applyFill="1" applyBorder="1" applyAlignment="1">
      <alignment horizontal="center" vertical="center"/>
    </xf>
  </cellXfs>
  <cellStyles count="8">
    <cellStyle name="Cálculo" xfId="4" builtinId="22"/>
    <cellStyle name="Célula de Verificação" xfId="5" builtinId="23"/>
    <cellStyle name="Ênfase6" xfId="6" builtinId="49"/>
    <cellStyle name="Entrada" xfId="2" builtinId="20"/>
    <cellStyle name="Moeda" xfId="1" builtinId="4"/>
    <cellStyle name="Normal" xfId="0" builtinId="0"/>
    <cellStyle name="Normal 2" xfId="7" xr:uid="{00000000-0005-0000-0000-000007000000}"/>
    <cellStyle name="Saída" xfId="3" builtinId="21"/>
  </cellStyles>
  <dxfs count="113">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outline="0">
        <left style="medium">
          <color indexed="64"/>
        </left>
      </border>
      <protection locked="1" hidden="0"/>
    </dxf>
    <dxf>
      <font>
        <sz val="10"/>
        <color rgb="FF000000"/>
      </font>
      <alignment horizontal="general" vertical="center" textRotation="0" wrapText="1" indent="0" justifyLastLine="0" shrinkToFit="0" readingOrder="0"/>
      <border diagonalUp="0" diagonalDown="0">
        <left style="medium">
          <color indexed="64"/>
        </left>
        <right style="medium">
          <color indexed="64"/>
        </right>
        <top/>
        <bottom style="medium">
          <color indexed="64"/>
        </bottom>
        <vertical/>
        <horizontal/>
      </border>
    </dxf>
    <dxf>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numFmt numFmtId="30" formatCode="@"/>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dxf>
    <dxf>
      <numFmt numFmtId="30" formatCode="@"/>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dxf>
    <dxf>
      <numFmt numFmtId="30" formatCode="@"/>
    </dxf>
    <dxf>
      <numFmt numFmtId="30" formatCode="@"/>
      <alignment horizontal="center" vertical="bottom" textRotation="0" wrapText="0"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dxf>
    <dxf>
      <numFmt numFmtId="30" formatCode="@"/>
    </dxf>
    <dxf>
      <numFmt numFmtId="30" formatCode="@"/>
      <alignment horizontal="center" vertical="bottom" textRotation="0" wrapText="0"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alignment horizontal="center" vertical="center" textRotation="0" wrapText="0" indent="0" justifyLastLine="0" shrinkToFit="0" readingOrder="0"/>
      <protection locked="1" hidden="0"/>
    </dxf>
    <dxf>
      <numFmt numFmtId="30" formatCode="@"/>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alignment horizontal="center" vertical="center" textRotation="0" wrapText="0" indent="0" justifyLastLine="0" shrinkToFit="0" readingOrder="0"/>
      <protection locked="1" hidden="0"/>
    </dxf>
    <dxf>
      <numFmt numFmtId="30" formatCode="@"/>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numFmt numFmtId="30" formatCode="@"/>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dxf>
    <dxf>
      <numFmt numFmtId="30" formatCode="@"/>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protection locked="1" hidden="0"/>
    </dxf>
    <dxf>
      <protection locked="1" hidden="0"/>
    </dxf>
    <dxf>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protection locked="1" hidden="0"/>
    </dxf>
  </dxfs>
  <tableStyles count="0" defaultTableStyle="TableStyleMedium2" defaultPivotStyle="PivotStyleLight16"/>
  <colors>
    <mruColors>
      <color rgb="FFD64000"/>
      <color rgb="FFFFFF99"/>
      <color rgb="FFFFFF66"/>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List" dx="15" fmlaRange="$AA$9:$AA$15" multiSel="4" noThreeD="1" sel="0" seltype="multi" val="0"/>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fmlaLink="'Formulas and Lists'!$L$20" lockText="1" noThreeD="1"/>
</file>

<file path=xl/ctrlProps/ctrlProp5.xml><?xml version="1.0" encoding="utf-8"?>
<formControlPr xmlns="http://schemas.microsoft.com/office/spreadsheetml/2009/9/main" objectType="CheckBox" checked="Checked" fmlaLink="'Formulas and Lists'!$L$21" lockText="1" noThreeD="1"/>
</file>

<file path=xl/ctrlProps/ctrlProp6.xml><?xml version="1.0" encoding="utf-8"?>
<formControlPr xmlns="http://schemas.microsoft.com/office/spreadsheetml/2009/9/main" objectType="CheckBox" checked="Checked" fmlaLink="'Formulas and Lists'!$L$22" lockText="1" noThreeD="1"/>
</file>

<file path=xl/ctrlProps/ctrlProp7.xml><?xml version="1.0" encoding="utf-8"?>
<formControlPr xmlns="http://schemas.microsoft.com/office/spreadsheetml/2009/9/main" objectType="CheckBox" checked="Checked" fmlaLink="'Formulas and Lists'!$L$23" lockText="1" noThreeD="1"/>
</file>

<file path=xl/ctrlProps/ctrlProp8.xml><?xml version="1.0" encoding="utf-8"?>
<formControlPr xmlns="http://schemas.microsoft.com/office/spreadsheetml/2009/9/main" objectType="CheckBox" checked="Checked" fmlaLink="'Formulas and Lists'!$L$24" lockText="1" noThreeD="1"/>
</file>

<file path=xl/ctrlProps/ctrlProp9.xml><?xml version="1.0" encoding="utf-8"?>
<formControlPr xmlns="http://schemas.microsoft.com/office/spreadsheetml/2009/9/main" objectType="CheckBox" checked="Checked" fmlaLink="'Formulas and Lists'!$L$28" lockText="1" noThreeD="1"/>
</file>

<file path=xl/ctrlProps/ctrlProp10.xml><?xml version="1.0" encoding="utf-8"?>
<formControlPr xmlns="http://schemas.microsoft.com/office/spreadsheetml/2009/9/main" objectType="CheckBox" checked="Checked" fmlaLink="'Formulas and Lists'!$L$29" lockText="1" noThreeD="1"/>
</file>

<file path=xl/ctrlProps/ctrlProp11.xml><?xml version="1.0" encoding="utf-8"?>
<formControlPr xmlns="http://schemas.microsoft.com/office/spreadsheetml/2009/9/main" objectType="CheckBox" checked="Checked" fmlaLink="'Formulas and Lists'!$L$30" lockText="1" noThreeD="1"/>
</file>

<file path=xl/ctrlProps/ctrlProp12.xml><?xml version="1.0" encoding="utf-8"?>
<formControlPr xmlns="http://schemas.microsoft.com/office/spreadsheetml/2009/9/main" objectType="CheckBox" checked="Checked" fmlaLink="'Formulas and Lists'!$L$31" lockText="1" noThreeD="1"/>
</file>

<file path=xl/ctrlProps/ctrlProp13.xml><?xml version="1.0" encoding="utf-8"?>
<formControlPr xmlns="http://schemas.microsoft.com/office/spreadsheetml/2009/9/main" objectType="CheckBox" checked="Checked" fmlaLink="'Formulas and Lists'!$L$32"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Indice - Index'!A1"/><Relationship Id="rId1" Type="http://schemas.openxmlformats.org/officeDocument/2006/relationships/image" Target="../media/image3.png"/><Relationship Id="rId4" Type="http://schemas.openxmlformats.org/officeDocument/2006/relationships/image" Target="../media/image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hyperlink" Target="#'Indice - Index'!A1"/></Relationships>
</file>

<file path=xl/drawings/_rels/drawing1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hyperlink" Target="#'Indice - Index'!A1"/></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101600</xdr:rowOff>
    </xdr:from>
    <xdr:to>
      <xdr:col>3</xdr:col>
      <xdr:colOff>3520</xdr:colOff>
      <xdr:row>4</xdr:row>
      <xdr:rowOff>127066</xdr:rowOff>
    </xdr:to>
    <xdr:pic>
      <xdr:nvPicPr>
        <xdr:cNvPr id="2" name="Image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8100" y="101600"/>
          <a:ext cx="2511770" cy="762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74611</xdr:colOff>
      <xdr:row>0</xdr:row>
      <xdr:rowOff>103982</xdr:rowOff>
    </xdr:from>
    <xdr:to>
      <xdr:col>0</xdr:col>
      <xdr:colOff>1825648</xdr:colOff>
      <xdr:row>0</xdr:row>
      <xdr:rowOff>865834</xdr:rowOff>
    </xdr:to>
    <xdr:pic>
      <xdr:nvPicPr>
        <xdr:cNvPr id="3" name="Picture 2">
          <a:extLst>
            <a:ext uri="{FF2B5EF4-FFF2-40B4-BE49-F238E27FC236}">
              <a16:creationId xmlns:a16="http://schemas.microsoft.com/office/drawing/2014/main" id="{508D7A52-8126-4A94-A37F-B8B6D81EC7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4611" y="103982"/>
          <a:ext cx="1751037" cy="7682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59531</xdr:colOff>
      <xdr:row>0</xdr:row>
      <xdr:rowOff>119062</xdr:rowOff>
    </xdr:from>
    <xdr:to>
      <xdr:col>0</xdr:col>
      <xdr:colOff>1732931</xdr:colOff>
      <xdr:row>0</xdr:row>
      <xdr:rowOff>894451</xdr:rowOff>
    </xdr:to>
    <xdr:pic>
      <xdr:nvPicPr>
        <xdr:cNvPr id="3" name="Picture 2">
          <a:extLst>
            <a:ext uri="{FF2B5EF4-FFF2-40B4-BE49-F238E27FC236}">
              <a16:creationId xmlns:a16="http://schemas.microsoft.com/office/drawing/2014/main" id="{C705AFE4-A3AC-4EF5-8750-6EB6CD389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59531" y="119062"/>
          <a:ext cx="1749600" cy="783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61911</xdr:colOff>
      <xdr:row>0</xdr:row>
      <xdr:rowOff>139702</xdr:rowOff>
    </xdr:from>
    <xdr:to>
      <xdr:col>0</xdr:col>
      <xdr:colOff>1812472</xdr:colOff>
      <xdr:row>0</xdr:row>
      <xdr:rowOff>930764</xdr:rowOff>
    </xdr:to>
    <xdr:pic>
      <xdr:nvPicPr>
        <xdr:cNvPr id="4" name="Picture 2">
          <a:extLst>
            <a:ext uri="{FF2B5EF4-FFF2-40B4-BE49-F238E27FC236}">
              <a16:creationId xmlns:a16="http://schemas.microsoft.com/office/drawing/2014/main" id="{348331F6-9941-4F89-9B94-EAA3BA713E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1911" y="139702"/>
          <a:ext cx="1751831" cy="7872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76992</xdr:colOff>
      <xdr:row>0</xdr:row>
      <xdr:rowOff>128588</xdr:rowOff>
    </xdr:from>
    <xdr:to>
      <xdr:col>0</xdr:col>
      <xdr:colOff>1808979</xdr:colOff>
      <xdr:row>0</xdr:row>
      <xdr:rowOff>891710</xdr:rowOff>
    </xdr:to>
    <xdr:pic>
      <xdr:nvPicPr>
        <xdr:cNvPr id="2" name="Picture 2">
          <a:extLst>
            <a:ext uri="{FF2B5EF4-FFF2-40B4-BE49-F238E27FC236}">
              <a16:creationId xmlns:a16="http://schemas.microsoft.com/office/drawing/2014/main" id="{B03062AA-F4D7-475D-8E5B-F5352AC648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6992" y="128588"/>
          <a:ext cx="1741512" cy="761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74614</xdr:colOff>
      <xdr:row>0</xdr:row>
      <xdr:rowOff>121444</xdr:rowOff>
    </xdr:from>
    <xdr:to>
      <xdr:col>0</xdr:col>
      <xdr:colOff>1844860</xdr:colOff>
      <xdr:row>0</xdr:row>
      <xdr:rowOff>911871</xdr:rowOff>
    </xdr:to>
    <xdr:pic>
      <xdr:nvPicPr>
        <xdr:cNvPr id="3" name="Picture 2">
          <a:extLst>
            <a:ext uri="{FF2B5EF4-FFF2-40B4-BE49-F238E27FC236}">
              <a16:creationId xmlns:a16="http://schemas.microsoft.com/office/drawing/2014/main" id="{31BE3100-8749-4A86-A232-2F64F039B3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4614" y="121444"/>
          <a:ext cx="1758181" cy="790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28574</xdr:colOff>
      <xdr:row>0</xdr:row>
      <xdr:rowOff>127794</xdr:rowOff>
    </xdr:from>
    <xdr:to>
      <xdr:col>0</xdr:col>
      <xdr:colOff>1807075</xdr:colOff>
      <xdr:row>0</xdr:row>
      <xdr:rowOff>911871</xdr:rowOff>
    </xdr:to>
    <xdr:pic>
      <xdr:nvPicPr>
        <xdr:cNvPr id="3" name="Picture 2">
          <a:extLst>
            <a:ext uri="{FF2B5EF4-FFF2-40B4-BE49-F238E27FC236}">
              <a16:creationId xmlns:a16="http://schemas.microsoft.com/office/drawing/2014/main" id="{185BCD9D-5385-486F-881D-FC99F2975C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8574" y="127794"/>
          <a:ext cx="1770881" cy="7872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47626</xdr:colOff>
      <xdr:row>0</xdr:row>
      <xdr:rowOff>134939</xdr:rowOff>
    </xdr:from>
    <xdr:to>
      <xdr:col>1</xdr:col>
      <xdr:colOff>1352099</xdr:colOff>
      <xdr:row>0</xdr:row>
      <xdr:rowOff>915841</xdr:rowOff>
    </xdr:to>
    <xdr:pic>
      <xdr:nvPicPr>
        <xdr:cNvPr id="3" name="Picture 2">
          <a:extLst>
            <a:ext uri="{FF2B5EF4-FFF2-40B4-BE49-F238E27FC236}">
              <a16:creationId xmlns:a16="http://schemas.microsoft.com/office/drawing/2014/main" id="{57C70020-85E3-462A-8F54-FE4E05D40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47626" y="134939"/>
          <a:ext cx="1764531" cy="7809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45248</xdr:colOff>
      <xdr:row>0</xdr:row>
      <xdr:rowOff>124619</xdr:rowOff>
    </xdr:from>
    <xdr:to>
      <xdr:col>0</xdr:col>
      <xdr:colOff>1812319</xdr:colOff>
      <xdr:row>0</xdr:row>
      <xdr:rowOff>934096</xdr:rowOff>
    </xdr:to>
    <xdr:pic>
      <xdr:nvPicPr>
        <xdr:cNvPr id="3" name="Picture 2">
          <a:extLst>
            <a:ext uri="{FF2B5EF4-FFF2-40B4-BE49-F238E27FC236}">
              <a16:creationId xmlns:a16="http://schemas.microsoft.com/office/drawing/2014/main" id="{26146F0B-2818-4BC0-A95B-5C62E9882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45248" y="124619"/>
          <a:ext cx="1770881" cy="799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130970</xdr:colOff>
      <xdr:row>0</xdr:row>
      <xdr:rowOff>107154</xdr:rowOff>
    </xdr:from>
    <xdr:to>
      <xdr:col>0</xdr:col>
      <xdr:colOff>1905026</xdr:colOff>
      <xdr:row>0</xdr:row>
      <xdr:rowOff>907106</xdr:rowOff>
    </xdr:to>
    <xdr:pic>
      <xdr:nvPicPr>
        <xdr:cNvPr id="3" name="Picture 2">
          <a:extLst>
            <a:ext uri="{FF2B5EF4-FFF2-40B4-BE49-F238E27FC236}">
              <a16:creationId xmlns:a16="http://schemas.microsoft.com/office/drawing/2014/main" id="{FCBD9F8A-695D-4687-B163-545BD8475D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30970" y="107154"/>
          <a:ext cx="1774056" cy="7967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76200</xdr:colOff>
      <xdr:row>0</xdr:row>
      <xdr:rowOff>57150</xdr:rowOff>
    </xdr:from>
    <xdr:to>
      <xdr:col>7</xdr:col>
      <xdr:colOff>95250</xdr:colOff>
      <xdr:row>0</xdr:row>
      <xdr:rowOff>828675</xdr:rowOff>
    </xdr:to>
    <xdr:pic>
      <xdr:nvPicPr>
        <xdr:cNvPr id="2" name="Picture 2">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9525" y="57150"/>
          <a:ext cx="24574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5</xdr:col>
          <xdr:colOff>107950</xdr:colOff>
          <xdr:row>24</xdr:row>
          <xdr:rowOff>69850</xdr:rowOff>
        </xdr:from>
        <xdr:to>
          <xdr:col>9</xdr:col>
          <xdr:colOff>304800</xdr:colOff>
          <xdr:row>24</xdr:row>
          <xdr:rowOff>1079500</xdr:rowOff>
        </xdr:to>
        <xdr:sp macro="" textlink="">
          <xdr:nvSpPr>
            <xdr:cNvPr id="44033" name="List Box 1" hidden="1">
              <a:extLst>
                <a:ext uri="{63B3BB69-23CF-44E3-9099-C40C66FF867C}">
                  <a14:compatExt spid="_x0000_s44033"/>
                </a:ext>
                <a:ext uri="{FF2B5EF4-FFF2-40B4-BE49-F238E27FC236}">
                  <a16:creationId xmlns:a16="http://schemas.microsoft.com/office/drawing/2014/main" id="{00000000-0008-0000-0C00-000001A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22</xdr:row>
          <xdr:rowOff>107950</xdr:rowOff>
        </xdr:from>
        <xdr:to>
          <xdr:col>5</xdr:col>
          <xdr:colOff>527050</xdr:colOff>
          <xdr:row>22</xdr:row>
          <xdr:rowOff>298450</xdr:rowOff>
        </xdr:to>
        <xdr:sp macro="" textlink="">
          <xdr:nvSpPr>
            <xdr:cNvPr id="44034" name="Check Box 2" hidden="1">
              <a:extLst>
                <a:ext uri="{63B3BB69-23CF-44E3-9099-C40C66FF867C}">
                  <a14:compatExt spid="_x0000_s44034"/>
                </a:ext>
                <a:ext uri="{FF2B5EF4-FFF2-40B4-BE49-F238E27FC236}">
                  <a16:creationId xmlns:a16="http://schemas.microsoft.com/office/drawing/2014/main" id="{00000000-0008-0000-0C00-000002A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xdr:row>
          <xdr:rowOff>107950</xdr:rowOff>
        </xdr:from>
        <xdr:to>
          <xdr:col>6</xdr:col>
          <xdr:colOff>450850</xdr:colOff>
          <xdr:row>22</xdr:row>
          <xdr:rowOff>304800</xdr:rowOff>
        </xdr:to>
        <xdr:sp macro="" textlink="">
          <xdr:nvSpPr>
            <xdr:cNvPr id="44035" name="Check Box 3" hidden="1">
              <a:extLst>
                <a:ext uri="{63B3BB69-23CF-44E3-9099-C40C66FF867C}">
                  <a14:compatExt spid="_x0000_s44035"/>
                </a:ext>
                <a:ext uri="{FF2B5EF4-FFF2-40B4-BE49-F238E27FC236}">
                  <a16:creationId xmlns:a16="http://schemas.microsoft.com/office/drawing/2014/main" id="{00000000-0008-0000-0C00-000003A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No</a:t>
              </a:r>
            </a:p>
          </xdr:txBody>
        </xdr:sp>
        <xdr:clientData/>
      </xdr:twoCellAnchor>
    </mc:Choice>
    <mc:Fallback/>
  </mc:AlternateContent>
  <xdr:twoCellAnchor>
    <xdr:from>
      <xdr:col>0</xdr:col>
      <xdr:colOff>123825</xdr:colOff>
      <xdr:row>0</xdr:row>
      <xdr:rowOff>123825</xdr:rowOff>
    </xdr:from>
    <xdr:to>
      <xdr:col>0</xdr:col>
      <xdr:colOff>971550</xdr:colOff>
      <xdr:row>0</xdr:row>
      <xdr:rowOff>571500</xdr:rowOff>
    </xdr:to>
    <xdr:sp macro="" textlink="">
      <xdr:nvSpPr>
        <xdr:cNvPr id="8" name="Rounded Rectangle 7">
          <a:hlinkClick xmlns:r="http://schemas.openxmlformats.org/officeDocument/2006/relationships" r:id="rId2"/>
          <a:extLst>
            <a:ext uri="{FF2B5EF4-FFF2-40B4-BE49-F238E27FC236}">
              <a16:creationId xmlns:a16="http://schemas.microsoft.com/office/drawing/2014/main" id="{00000000-0008-0000-0B00-000008000000}"/>
            </a:ext>
          </a:extLst>
        </xdr:cNvPr>
        <xdr:cNvSpPr/>
      </xdr:nvSpPr>
      <xdr:spPr>
        <a:xfrm>
          <a:off x="123825" y="123825"/>
          <a:ext cx="847725" cy="44767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400" b="1"/>
            <a:t>INDEX</a:t>
          </a:r>
        </a:p>
      </xdr:txBody>
    </xdr:sp>
    <xdr:clientData/>
  </xdr:twoCellAnchor>
  <xdr:twoCellAnchor>
    <xdr:from>
      <xdr:col>4</xdr:col>
      <xdr:colOff>800100</xdr:colOff>
      <xdr:row>6</xdr:row>
      <xdr:rowOff>104775</xdr:rowOff>
    </xdr:from>
    <xdr:to>
      <xdr:col>7</xdr:col>
      <xdr:colOff>600075</xdr:colOff>
      <xdr:row>17</xdr:row>
      <xdr:rowOff>28575</xdr:rowOff>
    </xdr:to>
    <xdr:grpSp>
      <xdr:nvGrpSpPr>
        <xdr:cNvPr id="9" name="Grupo 2">
          <a:extLst>
            <a:ext uri="{FF2B5EF4-FFF2-40B4-BE49-F238E27FC236}">
              <a16:creationId xmlns:a16="http://schemas.microsoft.com/office/drawing/2014/main" id="{00000000-0008-0000-0B00-000009000000}"/>
            </a:ext>
          </a:extLst>
        </xdr:cNvPr>
        <xdr:cNvGrpSpPr>
          <a:grpSpLocks/>
        </xdr:cNvGrpSpPr>
      </xdr:nvGrpSpPr>
      <xdr:grpSpPr bwMode="auto">
        <a:xfrm>
          <a:off x="4654550" y="2365375"/>
          <a:ext cx="2409825" cy="2146300"/>
          <a:chOff x="6975475" y="1422400"/>
          <a:chExt cx="2286000" cy="2292350"/>
        </a:xfrm>
      </xdr:grpSpPr>
      <xdr:pic>
        <xdr:nvPicPr>
          <xdr:cNvPr id="10" name="Picture 8" descr="C:\Users\U0094360\Documents\preso\Indirect_Tax_Revamp\trosidt_circs.png">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975475" y="1422400"/>
            <a:ext cx="2286000" cy="229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Picture 9" descr="C:\Users\U0094360\Documents\preso\Indirect_Tax_Revamp\tr_os_idt.png">
            <a:extLst>
              <a:ext uri="{FF2B5EF4-FFF2-40B4-BE49-F238E27FC236}">
                <a16:creationId xmlns:a16="http://schemas.microsoft.com/office/drawing/2014/main" id="{00000000-0008-0000-0B00-00000B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242175" y="1733550"/>
            <a:ext cx="1752600" cy="175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76200</xdr:colOff>
      <xdr:row>0</xdr:row>
      <xdr:rowOff>104775</xdr:rowOff>
    </xdr:from>
    <xdr:to>
      <xdr:col>5</xdr:col>
      <xdr:colOff>276225</xdr:colOff>
      <xdr:row>0</xdr:row>
      <xdr:rowOff>828675</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9525" y="104775"/>
          <a:ext cx="22860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104775</xdr:colOff>
      <xdr:row>6</xdr:row>
      <xdr:rowOff>238125</xdr:rowOff>
    </xdr:from>
    <xdr:to>
      <xdr:col>13</xdr:col>
      <xdr:colOff>561975</xdr:colOff>
      <xdr:row>12</xdr:row>
      <xdr:rowOff>238125</xdr:rowOff>
    </xdr:to>
    <xdr:pic>
      <xdr:nvPicPr>
        <xdr:cNvPr id="3" name="Picture 3" descr="C:\Users\U0094360\Documents\preso\Indirect_Tax_Revamp\trosidt_circs.png">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29825" y="2695575"/>
          <a:ext cx="2286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371475</xdr:colOff>
      <xdr:row>7</xdr:row>
      <xdr:rowOff>123825</xdr:rowOff>
    </xdr:from>
    <xdr:to>
      <xdr:col>13</xdr:col>
      <xdr:colOff>295275</xdr:colOff>
      <xdr:row>11</xdr:row>
      <xdr:rowOff>352425</xdr:rowOff>
    </xdr:to>
    <xdr:pic>
      <xdr:nvPicPr>
        <xdr:cNvPr id="4" name="Picture 4" descr="C:\Users\U0094360\Documents\preso\Indirect_Tax_Revamp\tr_os_idt.png">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296525" y="2962275"/>
          <a:ext cx="1752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76200</xdr:colOff>
      <xdr:row>0</xdr:row>
      <xdr:rowOff>133350</xdr:rowOff>
    </xdr:from>
    <xdr:to>
      <xdr:col>0</xdr:col>
      <xdr:colOff>923925</xdr:colOff>
      <xdr:row>0</xdr:row>
      <xdr:rowOff>581025</xdr:rowOff>
    </xdr:to>
    <xdr:sp macro="" textlink="">
      <xdr:nvSpPr>
        <xdr:cNvPr id="5" name="Rounded Rectangle 4">
          <a:hlinkClick xmlns:r="http://schemas.openxmlformats.org/officeDocument/2006/relationships" r:id="rId4"/>
          <a:extLst>
            <a:ext uri="{FF2B5EF4-FFF2-40B4-BE49-F238E27FC236}">
              <a16:creationId xmlns:a16="http://schemas.microsoft.com/office/drawing/2014/main" id="{00000000-0008-0000-0C00-000005000000}"/>
            </a:ext>
          </a:extLst>
        </xdr:cNvPr>
        <xdr:cNvSpPr/>
      </xdr:nvSpPr>
      <xdr:spPr>
        <a:xfrm>
          <a:off x="76200" y="133350"/>
          <a:ext cx="847725" cy="44767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400" b="1"/>
            <a:t>INDEX</a:t>
          </a:r>
        </a:p>
      </xdr:txBody>
    </xdr:sp>
    <xdr:clientData/>
  </xdr:twoCellAnchor>
  <mc:AlternateContent xmlns:mc="http://schemas.openxmlformats.org/markup-compatibility/2006">
    <mc:Choice xmlns:a14="http://schemas.microsoft.com/office/drawing/2010/main" Requires="a14">
      <xdr:twoCellAnchor editAs="oneCell">
        <xdr:from>
          <xdr:col>5</xdr:col>
          <xdr:colOff>107950</xdr:colOff>
          <xdr:row>17</xdr:row>
          <xdr:rowOff>38100</xdr:rowOff>
        </xdr:from>
        <xdr:to>
          <xdr:col>6</xdr:col>
          <xdr:colOff>0</xdr:colOff>
          <xdr:row>18</xdr:row>
          <xdr:rowOff>31750</xdr:rowOff>
        </xdr:to>
        <xdr:sp macro="" textlink="">
          <xdr:nvSpPr>
            <xdr:cNvPr id="45057" name="Check Box 1" hidden="1">
              <a:extLst>
                <a:ext uri="{63B3BB69-23CF-44E3-9099-C40C66FF867C}">
                  <a14:compatExt spid="_x0000_s45057"/>
                </a:ext>
                <a:ext uri="{FF2B5EF4-FFF2-40B4-BE49-F238E27FC236}">
                  <a16:creationId xmlns:a16="http://schemas.microsoft.com/office/drawing/2014/main" id="{00000000-0008-0000-0D00-00000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INSS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17</xdr:row>
          <xdr:rowOff>76200</xdr:rowOff>
        </xdr:from>
        <xdr:to>
          <xdr:col>7</xdr:col>
          <xdr:colOff>38100</xdr:colOff>
          <xdr:row>17</xdr:row>
          <xdr:rowOff>374650</xdr:rowOff>
        </xdr:to>
        <xdr:sp macro="" textlink="">
          <xdr:nvSpPr>
            <xdr:cNvPr id="45058" name="Check Box 2" hidden="1">
              <a:extLst>
                <a:ext uri="{63B3BB69-23CF-44E3-9099-C40C66FF867C}">
                  <a14:compatExt spid="_x0000_s45058"/>
                </a:ext>
                <a:ext uri="{FF2B5EF4-FFF2-40B4-BE49-F238E27FC236}">
                  <a16:creationId xmlns:a16="http://schemas.microsoft.com/office/drawing/2014/main" id="{00000000-0008-0000-0D00-00000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CSLL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184150</xdr:colOff>
          <xdr:row>17</xdr:row>
          <xdr:rowOff>76200</xdr:rowOff>
        </xdr:from>
        <xdr:to>
          <xdr:col>8</xdr:col>
          <xdr:colOff>114300</xdr:colOff>
          <xdr:row>18</xdr:row>
          <xdr:rowOff>0</xdr:rowOff>
        </xdr:to>
        <xdr:sp macro="" textlink="">
          <xdr:nvSpPr>
            <xdr:cNvPr id="45059" name="Check Box 3" hidden="1">
              <a:extLst>
                <a:ext uri="{63B3BB69-23CF-44E3-9099-C40C66FF867C}">
                  <a14:compatExt spid="_x0000_s45059"/>
                </a:ext>
                <a:ext uri="{FF2B5EF4-FFF2-40B4-BE49-F238E27FC236}">
                  <a16:creationId xmlns:a16="http://schemas.microsoft.com/office/drawing/2014/main" id="{00000000-0008-0000-0D00-00000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IPI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203200</xdr:colOff>
          <xdr:row>17</xdr:row>
          <xdr:rowOff>69850</xdr:rowOff>
        </xdr:from>
        <xdr:to>
          <xdr:col>9</xdr:col>
          <xdr:colOff>31750</xdr:colOff>
          <xdr:row>18</xdr:row>
          <xdr:rowOff>12700</xdr:rowOff>
        </xdr:to>
        <xdr:sp macro="" textlink="">
          <xdr:nvSpPr>
            <xdr:cNvPr id="45060" name="Check Box 4" hidden="1">
              <a:extLst>
                <a:ext uri="{63B3BB69-23CF-44E3-9099-C40C66FF867C}">
                  <a14:compatExt spid="_x0000_s45060"/>
                </a:ext>
                <a:ext uri="{FF2B5EF4-FFF2-40B4-BE49-F238E27FC236}">
                  <a16:creationId xmlns:a16="http://schemas.microsoft.com/office/drawing/2014/main" id="{00000000-0008-0000-0D00-00000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PIS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222250</xdr:colOff>
          <xdr:row>17</xdr:row>
          <xdr:rowOff>127000</xdr:rowOff>
        </xdr:from>
        <xdr:to>
          <xdr:col>9</xdr:col>
          <xdr:colOff>717550</xdr:colOff>
          <xdr:row>17</xdr:row>
          <xdr:rowOff>317500</xdr:rowOff>
        </xdr:to>
        <xdr:sp macro="" textlink="">
          <xdr:nvSpPr>
            <xdr:cNvPr id="45061" name="Check Box 5" hidden="1">
              <a:extLst>
                <a:ext uri="{63B3BB69-23CF-44E3-9099-C40C66FF867C}">
                  <a14:compatExt spid="_x0000_s45061"/>
                </a:ext>
                <a:ext uri="{FF2B5EF4-FFF2-40B4-BE49-F238E27FC236}">
                  <a16:creationId xmlns:a16="http://schemas.microsoft.com/office/drawing/2014/main" id="{00000000-0008-0000-0D00-00000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COFINS</a:t>
              </a:r>
            </a:p>
          </xdr:txBody>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4</xdr:col>
      <xdr:colOff>85725</xdr:colOff>
      <xdr:row>0</xdr:row>
      <xdr:rowOff>85725</xdr:rowOff>
    </xdr:from>
    <xdr:to>
      <xdr:col>5</xdr:col>
      <xdr:colOff>266700</xdr:colOff>
      <xdr:row>0</xdr:row>
      <xdr:rowOff>847725</xdr:rowOff>
    </xdr:to>
    <xdr:pic>
      <xdr:nvPicPr>
        <xdr:cNvPr id="2" name="Picture 2">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9050" y="85725"/>
          <a:ext cx="22669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133350</xdr:colOff>
      <xdr:row>6</xdr:row>
      <xdr:rowOff>238125</xdr:rowOff>
    </xdr:from>
    <xdr:to>
      <xdr:col>13</xdr:col>
      <xdr:colOff>590550</xdr:colOff>
      <xdr:row>12</xdr:row>
      <xdr:rowOff>238125</xdr:rowOff>
    </xdr:to>
    <xdr:pic>
      <xdr:nvPicPr>
        <xdr:cNvPr id="3" name="Picture 3" descr="C:\Users\U0094360\Documents\preso\Indirect_Tax_Revamp\trosidt_circs.png">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2695575"/>
          <a:ext cx="2286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400050</xdr:colOff>
      <xdr:row>7</xdr:row>
      <xdr:rowOff>123825</xdr:rowOff>
    </xdr:from>
    <xdr:to>
      <xdr:col>13</xdr:col>
      <xdr:colOff>323850</xdr:colOff>
      <xdr:row>11</xdr:row>
      <xdr:rowOff>352425</xdr:rowOff>
    </xdr:to>
    <xdr:pic>
      <xdr:nvPicPr>
        <xdr:cNvPr id="4" name="Picture 4" descr="C:\Users\U0094360\Documents\preso\Indirect_Tax_Revamp\tr_os_idt.png">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25100" y="2962275"/>
          <a:ext cx="1752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66675</xdr:colOff>
      <xdr:row>0</xdr:row>
      <xdr:rowOff>114300</xdr:rowOff>
    </xdr:from>
    <xdr:to>
      <xdr:col>0</xdr:col>
      <xdr:colOff>914400</xdr:colOff>
      <xdr:row>0</xdr:row>
      <xdr:rowOff>561975</xdr:rowOff>
    </xdr:to>
    <xdr:sp macro="" textlink="">
      <xdr:nvSpPr>
        <xdr:cNvPr id="5" name="Rounded Rectangle 4">
          <a:hlinkClick xmlns:r="http://schemas.openxmlformats.org/officeDocument/2006/relationships" r:id="rId4"/>
          <a:extLst>
            <a:ext uri="{FF2B5EF4-FFF2-40B4-BE49-F238E27FC236}">
              <a16:creationId xmlns:a16="http://schemas.microsoft.com/office/drawing/2014/main" id="{00000000-0008-0000-0D00-000005000000}"/>
            </a:ext>
          </a:extLst>
        </xdr:cNvPr>
        <xdr:cNvSpPr/>
      </xdr:nvSpPr>
      <xdr:spPr>
        <a:xfrm>
          <a:off x="66675" y="114300"/>
          <a:ext cx="847725" cy="44767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400" b="1"/>
            <a:t>INDEX</a:t>
          </a:r>
        </a:p>
      </xdr:txBody>
    </xdr:sp>
    <xdr:clientData/>
  </xdr:twoCellAnchor>
  <mc:AlternateContent xmlns:mc="http://schemas.openxmlformats.org/markup-compatibility/2006">
    <mc:Choice xmlns:a14="http://schemas.microsoft.com/office/drawing/2010/main" Requires="a14">
      <xdr:twoCellAnchor editAs="oneCell">
        <xdr:from>
          <xdr:col>5</xdr:col>
          <xdr:colOff>107950</xdr:colOff>
          <xdr:row>17</xdr:row>
          <xdr:rowOff>69850</xdr:rowOff>
        </xdr:from>
        <xdr:to>
          <xdr:col>6</xdr:col>
          <xdr:colOff>0</xdr:colOff>
          <xdr:row>17</xdr:row>
          <xdr:rowOff>228600</xdr:rowOff>
        </xdr:to>
        <xdr:sp macro="" textlink="">
          <xdr:nvSpPr>
            <xdr:cNvPr id="46081" name="Check Box 1" hidden="1">
              <a:extLst>
                <a:ext uri="{63B3BB69-23CF-44E3-9099-C40C66FF867C}">
                  <a14:compatExt spid="_x0000_s46081"/>
                </a:ext>
                <a:ext uri="{FF2B5EF4-FFF2-40B4-BE49-F238E27FC236}">
                  <a16:creationId xmlns:a16="http://schemas.microsoft.com/office/drawing/2014/main" id="{00000000-0008-0000-0E00-000001B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INSS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17</xdr:row>
          <xdr:rowOff>107950</xdr:rowOff>
        </xdr:from>
        <xdr:to>
          <xdr:col>7</xdr:col>
          <xdr:colOff>38100</xdr:colOff>
          <xdr:row>17</xdr:row>
          <xdr:rowOff>222250</xdr:rowOff>
        </xdr:to>
        <xdr:sp macro="" textlink="">
          <xdr:nvSpPr>
            <xdr:cNvPr id="46082" name="Check Box 2" hidden="1">
              <a:extLst>
                <a:ext uri="{63B3BB69-23CF-44E3-9099-C40C66FF867C}">
                  <a14:compatExt spid="_x0000_s46082"/>
                </a:ext>
                <a:ext uri="{FF2B5EF4-FFF2-40B4-BE49-F238E27FC236}">
                  <a16:creationId xmlns:a16="http://schemas.microsoft.com/office/drawing/2014/main" id="{00000000-0008-0000-0E00-000002B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CSLL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184150</xdr:colOff>
          <xdr:row>17</xdr:row>
          <xdr:rowOff>107950</xdr:rowOff>
        </xdr:from>
        <xdr:to>
          <xdr:col>8</xdr:col>
          <xdr:colOff>114300</xdr:colOff>
          <xdr:row>17</xdr:row>
          <xdr:rowOff>222250</xdr:rowOff>
        </xdr:to>
        <xdr:sp macro="" textlink="">
          <xdr:nvSpPr>
            <xdr:cNvPr id="46083" name="Check Box 3" hidden="1">
              <a:extLst>
                <a:ext uri="{63B3BB69-23CF-44E3-9099-C40C66FF867C}">
                  <a14:compatExt spid="_x0000_s46083"/>
                </a:ext>
                <a:ext uri="{FF2B5EF4-FFF2-40B4-BE49-F238E27FC236}">
                  <a16:creationId xmlns:a16="http://schemas.microsoft.com/office/drawing/2014/main" id="{00000000-0008-0000-0E00-000003B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IPI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203200</xdr:colOff>
          <xdr:row>17</xdr:row>
          <xdr:rowOff>107950</xdr:rowOff>
        </xdr:from>
        <xdr:to>
          <xdr:col>9</xdr:col>
          <xdr:colOff>31750</xdr:colOff>
          <xdr:row>17</xdr:row>
          <xdr:rowOff>228600</xdr:rowOff>
        </xdr:to>
        <xdr:sp macro="" textlink="">
          <xdr:nvSpPr>
            <xdr:cNvPr id="46084" name="Check Box 4" hidden="1">
              <a:extLst>
                <a:ext uri="{63B3BB69-23CF-44E3-9099-C40C66FF867C}">
                  <a14:compatExt spid="_x0000_s46084"/>
                </a:ext>
                <a:ext uri="{FF2B5EF4-FFF2-40B4-BE49-F238E27FC236}">
                  <a16:creationId xmlns:a16="http://schemas.microsoft.com/office/drawing/2014/main" id="{00000000-0008-0000-0E00-000004B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PIS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222250</xdr:colOff>
          <xdr:row>17</xdr:row>
          <xdr:rowOff>107950</xdr:rowOff>
        </xdr:from>
        <xdr:to>
          <xdr:col>9</xdr:col>
          <xdr:colOff>850900</xdr:colOff>
          <xdr:row>17</xdr:row>
          <xdr:rowOff>222250</xdr:rowOff>
        </xdr:to>
        <xdr:sp macro="" textlink="">
          <xdr:nvSpPr>
            <xdr:cNvPr id="46085" name="Check Box 5" hidden="1">
              <a:extLst>
                <a:ext uri="{63B3BB69-23CF-44E3-9099-C40C66FF867C}">
                  <a14:compatExt spid="_x0000_s46085"/>
                </a:ext>
                <a:ext uri="{FF2B5EF4-FFF2-40B4-BE49-F238E27FC236}">
                  <a16:creationId xmlns:a16="http://schemas.microsoft.com/office/drawing/2014/main" id="{00000000-0008-0000-0E00-000005B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pt-BR" sz="800" b="0" i="0" u="none" strike="noStrike" baseline="0">
                  <a:solidFill>
                    <a:srgbClr val="000000"/>
                  </a:solidFill>
                  <a:latin typeface="Tahoma"/>
                  <a:ea typeface="Tahoma"/>
                  <a:cs typeface="Tahoma"/>
                </a:rPr>
                <a:t>COFINS</a:t>
              </a:r>
            </a:p>
          </xdr:txBody>
        </xdr:sp>
        <xdr:clientData/>
      </xdr:twoCellAnchor>
    </mc:Choice>
    <mc:Fallback/>
  </mc:AlternateContent>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B384F21-9C23-4449-97A5-A8E85949B0B5}"/>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ope" displayName="Scope" ref="F3:G6" totalsRowShown="0" headerRowDxfId="112" dataDxfId="111">
  <autoFilter ref="F3:G6" xr:uid="{00000000-0009-0000-0100-000001000000}"/>
  <tableColumns count="2">
    <tableColumn id="1" xr3:uid="{00000000-0010-0000-0000-000001000000}" name="Process Scope" dataDxfId="110"/>
    <tableColumn id="2" xr3:uid="{00000000-0010-0000-0000-000002000000}" name="Factor" dataDxfId="10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ain" displayName="Chain" ref="H3:I7" totalsRowShown="0" headerRowDxfId="108" dataDxfId="107">
  <autoFilter ref="H3:I7" xr:uid="{00000000-0009-0000-0100-000002000000}"/>
  <tableColumns count="2">
    <tableColumn id="1" xr3:uid="{00000000-0010-0000-0100-000001000000}" name="Supply Chain Location" dataDxfId="106"/>
    <tableColumn id="2" xr3:uid="{00000000-0010-0000-0100-000002000000}" name="Factor" dataDxfId="10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tates" displayName="States" ref="D12:E15" totalsRowShown="0" headerRowDxfId="104" dataDxfId="103">
  <autoFilter ref="D12:E15" xr:uid="{00000000-0009-0000-0100-000004000000}"/>
  <tableColumns count="2">
    <tableColumn id="1" xr3:uid="{00000000-0010-0000-0200-000001000000}" name="States" dataDxfId="102"/>
    <tableColumn id="2" xr3:uid="{00000000-0010-0000-0200-000002000000}" name="Factor" dataDxfId="10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NCM" displayName="NCM" ref="F12:G18" totalsRowShown="0" headerRowDxfId="100" dataDxfId="99">
  <autoFilter ref="F12:G18" xr:uid="{00000000-0009-0000-0100-000005000000}"/>
  <tableColumns count="2">
    <tableColumn id="1" xr3:uid="{00000000-0010-0000-0300-000001000000}" name="NCM classifications" dataDxfId="98"/>
    <tableColumn id="2" xr3:uid="{00000000-0010-0000-0300-000002000000}" name="Factor" dataDxfId="9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ERP" displayName="ERP" ref="B3:C7" totalsRowShown="0" headerRowDxfId="96" dataDxfId="95">
  <autoFilter ref="B3:C7" xr:uid="{00000000-0009-0000-0100-000006000000}"/>
  <tableColumns count="2">
    <tableColumn id="1" xr3:uid="{00000000-0010-0000-0400-000001000000}" name="ERP" dataDxfId="94"/>
    <tableColumn id="2" xr3:uid="{00000000-0010-0000-0400-000002000000}" name="Factor" dataDxfId="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Content" displayName="Content" ref="J3:K6" totalsRowShown="0" headerRowDxfId="92" dataDxfId="91">
  <autoFilter ref="J3:K6" xr:uid="{00000000-0009-0000-0100-000007000000}"/>
  <tableColumns count="2">
    <tableColumn id="1" xr3:uid="{00000000-0010-0000-0500-000001000000}" name="Content" dataDxfId="90"/>
    <tableColumn id="2" xr3:uid="{00000000-0010-0000-0500-000002000000}" name="Factor" dataDxfId="8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Branch" displayName="Branch" ref="B12:C15" totalsRowShown="0" headerRowDxfId="88" dataDxfId="87">
  <autoFilter ref="B12:C15" xr:uid="{00000000-0009-0000-0100-000008000000}"/>
  <tableColumns count="2">
    <tableColumn id="1" xr3:uid="{00000000-0010-0000-0600-000001000000}" name="Total Branches" dataDxfId="86"/>
    <tableColumn id="2" xr3:uid="{00000000-0010-0000-0600-000002000000}" name="Factor" dataDxfId="8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Ed" displayName="Ed" ref="T3:U5" totalsRowShown="0" headerRowDxfId="84" dataDxfId="83">
  <autoFilter ref="T3:U5" xr:uid="{00000000-0009-0000-0100-000009000000}"/>
  <tableColumns count="2">
    <tableColumn id="1" xr3:uid="{00000000-0010-0000-0700-000001000000}" name="Training Included" dataDxfId="82"/>
    <tableColumn id="2" xr3:uid="{00000000-0010-0000-0700-000002000000}" name="Factor" dataDxfId="8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ype" displayName="Type" ref="D3:E6" totalsRowShown="0" headerRowDxfId="80" dataDxfId="79">
  <autoFilter ref="D3:E6" xr:uid="{00000000-0009-0000-0100-00000A000000}"/>
  <tableColumns count="2">
    <tableColumn id="1" xr3:uid="{00000000-0010-0000-0800-000001000000}" name="Operation Types" dataDxfId="78"/>
    <tableColumn id="2" xr3:uid="{00000000-0010-0000-0800-000002000000}" name="Factor" dataDxfId="7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Host" displayName="Host" ref="L3:M6" totalsRowShown="0" headerRowDxfId="76" dataDxfId="75">
  <autoFilter ref="L3:M6" xr:uid="{00000000-0009-0000-0100-00000C000000}"/>
  <tableColumns count="2">
    <tableColumn id="1" xr3:uid="{00000000-0010-0000-0900-000001000000}" name="Archetecture" dataDxfId="74"/>
    <tableColumn id="2" xr3:uid="{00000000-0010-0000-0900-000002000000}" name="Factor" dataDxfId="7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ime" displayName="Time" ref="N3:O6" totalsRowShown="0" headerRowDxfId="72" dataDxfId="71">
  <autoFilter ref="N3:O6" xr:uid="{00000000-0009-0000-0100-00000D000000}"/>
  <tableColumns count="2">
    <tableColumn id="1" xr3:uid="{00000000-0010-0000-0A00-000001000000}" name="Project Duration" dataDxfId="70"/>
    <tableColumn id="2" xr3:uid="{00000000-0010-0000-0A00-000002000000}" name="Factor" dataDxfId="6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est" displayName="Test" ref="P3:Q6" totalsRowShown="0" headerRowDxfId="68" dataDxfId="67">
  <autoFilter ref="P3:Q6" xr:uid="{00000000-0009-0000-0100-00000E000000}"/>
  <tableColumns count="2">
    <tableColumn id="4" xr3:uid="{00000000-0010-0000-0B00-000004000000}" name="Testing" dataDxfId="66"/>
    <tableColumn id="1" xr3:uid="{00000000-0010-0000-0B00-000001000000}" name="Hours" dataDxfId="6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Support" displayName="Support" ref="R3:S6" totalsRowShown="0" headerRowDxfId="64" dataDxfId="63">
  <autoFilter ref="R3:S6" xr:uid="{00000000-0009-0000-0100-00000F000000}"/>
  <tableColumns count="2">
    <tableColumn id="1" xr3:uid="{00000000-0010-0000-0C00-000001000000}" name="Support" dataDxfId="62"/>
    <tableColumn id="2" xr3:uid="{00000000-0010-0000-0C00-000002000000}" name="Hours" dataDxfId="6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Implementation_Model" displayName="Implementation_Model" ref="V3:W5" totalsRowShown="0" headerRowDxfId="60" dataDxfId="59">
  <autoFilter ref="V3:W5" xr:uid="{00000000-0009-0000-0100-000018000000}"/>
  <tableColumns count="2">
    <tableColumn id="1" xr3:uid="{00000000-0010-0000-0D00-000001000000}" name="Implementation Model" dataDxfId="58"/>
    <tableColumn id="2" xr3:uid="{00000000-0010-0000-0D00-000002000000}" name="Hours" dataDxfId="5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ICMSST_NCM" displayName="ICMSST_NCM" ref="X12:Y18" totalsRowShown="0" headerRowDxfId="56" dataDxfId="55">
  <autoFilter ref="X12:Y18" xr:uid="{00000000-0009-0000-0100-000011000000}"/>
  <tableColumns count="2">
    <tableColumn id="1" xr3:uid="{00000000-0010-0000-0E00-000001000000}" name="ICMS-ST - # of NCMs" dataDxfId="54"/>
    <tableColumn id="2" xr3:uid="{00000000-0010-0000-0E00-000002000000}" name="Factor" dataDxfId="5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F000000}" name="ICMSST_Sales_ShipFromStates" displayName="ICMSST_Sales_ShipFromStates" ref="P12:Q16" totalsRowShown="0" headerRowDxfId="52" headerRowBorderDxfId="51" tableBorderDxfId="50" totalsRowBorderDxfId="49">
  <autoFilter ref="P12:Q16" xr:uid="{00000000-0009-0000-0100-000013000000}"/>
  <tableColumns count="2">
    <tableColumn id="1" xr3:uid="{00000000-0010-0000-0F00-000001000000}" name="Sales - Ship-From ICMS-ST States"/>
    <tableColumn id="2" xr3:uid="{00000000-0010-0000-0F00-000002000000}" name="Factor" dataDxfId="4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0000000}" name="ICMSST_Sales_ShipToStates" displayName="ICMSST_Sales_ShipToStates" ref="R12:S16" totalsRowShown="0" headerRowDxfId="47" headerRowBorderDxfId="46" tableBorderDxfId="45" totalsRowBorderDxfId="44">
  <autoFilter ref="R12:S16" xr:uid="{00000000-0009-0000-0100-000014000000}"/>
  <tableColumns count="2">
    <tableColumn id="1" xr3:uid="{00000000-0010-0000-1000-000001000000}" name="Sales - Ship-To ICMS-ST States Implementation"/>
    <tableColumn id="2" xr3:uid="{00000000-0010-0000-1000-000002000000}" name="Factor" dataDxfId="4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1000000}" name="Sales_NumberOfLines" displayName="Sales_NumberOfLines" ref="H12:I19" totalsRowShown="0" headerRowDxfId="42">
  <autoFilter ref="H12:I19" xr:uid="{00000000-0009-0000-0100-000016000000}"/>
  <tableColumns count="2">
    <tableColumn id="1" xr3:uid="{00000000-0010-0000-1100-000001000000}" name="Sales - # of Lines" dataDxfId="41"/>
    <tableColumn id="2" xr3:uid="{00000000-0010-0000-1100-000002000000}" name="Factor" dataDxfId="4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2000000}" name="Purchases_NumberOfLines" displayName="Purchases_NumberOfLines" ref="J12:K19" totalsRowShown="0" headerRowDxfId="39">
  <autoFilter ref="J12:K19" xr:uid="{00000000-0009-0000-0100-000017000000}"/>
  <tableColumns count="2">
    <tableColumn id="1" xr3:uid="{00000000-0010-0000-1200-000001000000}" name="Purchases - # of Lines" dataDxfId="38"/>
    <tableColumn id="2" xr3:uid="{00000000-0010-0000-1200-000002000000}" name="Factor" dataDxfId="37"/>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ISS_Municipalities" displayName="ISS_Municipalities" ref="Z12:AA19" totalsRowShown="0" headerRowDxfId="36" dataDxfId="35">
  <autoFilter ref="Z12:AA19" xr:uid="{00000000-0009-0000-0100-000012000000}"/>
  <tableColumns count="2">
    <tableColumn id="1" xr3:uid="{00000000-0010-0000-1300-000001000000}" name="Number of Municipalities" dataDxfId="34"/>
    <tableColumn id="2" xr3:uid="{00000000-0010-0000-1300-000002000000}" name="Factor" dataDxfId="3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ISS_ServiceCodes" displayName="ISS_ServiceCodes" ref="AB12:AC16" totalsRowShown="0" headerRowDxfId="32" headerRowBorderDxfId="31" tableBorderDxfId="30" totalsRowBorderDxfId="29">
  <autoFilter ref="AB12:AC16" xr:uid="{00000000-0009-0000-0100-000015000000}"/>
  <tableColumns count="2">
    <tableColumn id="1" xr3:uid="{00000000-0010-0000-1400-000001000000}" name="Service Codes"/>
    <tableColumn id="2" xr3:uid="{00000000-0010-0000-1400-000002000000}" name="Factor"/>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15000000}" name="Purchase_Taxes_Wth" displayName="Purchase_Taxes_Wth" ref="L12:M16" totalsRowShown="0" headerRowDxfId="28" headerRowBorderDxfId="27" tableBorderDxfId="26" totalsRowBorderDxfId="25">
  <autoFilter ref="L12:M16" xr:uid="{00000000-0009-0000-0100-000003000000}"/>
  <tableColumns count="2">
    <tableColumn id="1" xr3:uid="{00000000-0010-0000-1500-000001000000}" name="Purchase - Wth Taxes" dataDxfId="24"/>
    <tableColumn id="2" xr3:uid="{00000000-0010-0000-1500-000002000000}" name="Factor" dataDxfId="2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6000000}" name="Sales_Taxes_Wth" displayName="Sales_Taxes_Wth" ref="N12:O16" totalsRowShown="0" headerRowDxfId="22" headerRowBorderDxfId="21" tableBorderDxfId="20" totalsRowBorderDxfId="19">
  <autoFilter ref="N12:O16" xr:uid="{00000000-0009-0000-0100-00000B000000}"/>
  <tableColumns count="2">
    <tableColumn id="1" xr3:uid="{00000000-0010-0000-1600-000001000000}" name="Sales - Wth Taxes" dataDxfId="18"/>
    <tableColumn id="2" xr3:uid="{00000000-0010-0000-1600-000002000000}" name="Factor" dataDxfId="1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ICMSST_Purchases_ShipFromStates" displayName="ICMSST_Purchases_ShipFromStates" ref="T12:U16" totalsRowShown="0" headerRowDxfId="16" headerRowBorderDxfId="15" tableBorderDxfId="14" totalsRowBorderDxfId="13">
  <autoFilter ref="T12:U16" xr:uid="{00000000-0009-0000-0100-00001A000000}"/>
  <tableColumns count="2">
    <tableColumn id="1" xr3:uid="{00000000-0010-0000-1700-000001000000}" name="Purchases - Ship-From ICMS-ST States"/>
    <tableColumn id="2" xr3:uid="{00000000-0010-0000-1700-000002000000}" name="Factor" dataDxfId="1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ICMSST_Purchases_ShipToStates" displayName="ICMSST_Purchases_ShipToStates" ref="V12:W16" totalsRowShown="0" headerRowDxfId="11" headerRowBorderDxfId="10" tableBorderDxfId="9" totalsRowBorderDxfId="8">
  <autoFilter ref="V12:W16" xr:uid="{00000000-0009-0000-0100-00001B000000}"/>
  <tableColumns count="2">
    <tableColumn id="1" xr3:uid="{00000000-0010-0000-1800-000001000000}" name="Purchases - Ship-To ICMS-ST States Implementation"/>
    <tableColumn id="2" xr3:uid="{00000000-0010-0000-1800-000002000000}" name="Factor" dataDxfId="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9000000}" name="ERP_17" displayName="ERP_17" ref="A23:B52" totalsRowShown="0" headerRowDxfId="6" dataDxfId="5">
  <tableColumns count="2">
    <tableColumn id="1" xr3:uid="{00000000-0010-0000-1900-000001000000}" name="Product Segments for ICMS-ST" dataDxfId="4"/>
    <tableColumn id="2" xr3:uid="{00000000-0010-0000-1900-000002000000}" name="Factor" dataDxfId="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5.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vmlDrawing" Target="../drawings/vmlDrawing2.vml"/><Relationship Id="rId7" Type="http://schemas.openxmlformats.org/officeDocument/2006/relationships/ctrlProp" Target="../ctrlProps/ctrlProp7.xml"/><Relationship Id="rId2" Type="http://schemas.openxmlformats.org/officeDocument/2006/relationships/drawing" Target="../drawings/drawing12.xml"/><Relationship Id="rId1" Type="http://schemas.openxmlformats.org/officeDocument/2006/relationships/printerSettings" Target="../printerSettings/printerSettings6.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3.vml"/><Relationship Id="rId7" Type="http://schemas.openxmlformats.org/officeDocument/2006/relationships/ctrlProp" Target="../ctrlProps/ctrlProp12.xml"/><Relationship Id="rId2" Type="http://schemas.openxmlformats.org/officeDocument/2006/relationships/drawing" Target="../drawings/drawing13.xml"/><Relationship Id="rId1" Type="http://schemas.openxmlformats.org/officeDocument/2006/relationships/printerSettings" Target="../printerSettings/printerSettings7.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table" Target="../tables/table16.xml"/><Relationship Id="rId26" Type="http://schemas.openxmlformats.org/officeDocument/2006/relationships/table" Target="../tables/table24.xml"/><Relationship Id="rId3" Type="http://schemas.openxmlformats.org/officeDocument/2006/relationships/table" Target="../tables/table1.xml"/><Relationship Id="rId21" Type="http://schemas.openxmlformats.org/officeDocument/2006/relationships/table" Target="../tables/table19.xm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5" Type="http://schemas.openxmlformats.org/officeDocument/2006/relationships/table" Target="../tables/table23.xml"/><Relationship Id="rId2" Type="http://schemas.openxmlformats.org/officeDocument/2006/relationships/vmlDrawing" Target="../drawings/vmlDrawing4.vml"/><Relationship Id="rId16" Type="http://schemas.openxmlformats.org/officeDocument/2006/relationships/table" Target="../tables/table14.xml"/><Relationship Id="rId20" Type="http://schemas.openxmlformats.org/officeDocument/2006/relationships/table" Target="../tables/table18.xml"/><Relationship Id="rId1" Type="http://schemas.openxmlformats.org/officeDocument/2006/relationships/printerSettings" Target="../printerSettings/printerSettings9.bin"/><Relationship Id="rId6" Type="http://schemas.openxmlformats.org/officeDocument/2006/relationships/table" Target="../tables/table4.xml"/><Relationship Id="rId11" Type="http://schemas.openxmlformats.org/officeDocument/2006/relationships/table" Target="../tables/table9.xml"/><Relationship Id="rId24" Type="http://schemas.openxmlformats.org/officeDocument/2006/relationships/table" Target="../tables/table22.xml"/><Relationship Id="rId5" Type="http://schemas.openxmlformats.org/officeDocument/2006/relationships/table" Target="../tables/table3.xml"/><Relationship Id="rId15" Type="http://schemas.openxmlformats.org/officeDocument/2006/relationships/table" Target="../tables/table13.xml"/><Relationship Id="rId23" Type="http://schemas.openxmlformats.org/officeDocument/2006/relationships/table" Target="../tables/table21.xml"/><Relationship Id="rId28" Type="http://schemas.openxmlformats.org/officeDocument/2006/relationships/comments" Target="../comments1.xml"/><Relationship Id="rId10" Type="http://schemas.openxmlformats.org/officeDocument/2006/relationships/table" Target="../tables/table8.xml"/><Relationship Id="rId19" Type="http://schemas.openxmlformats.org/officeDocument/2006/relationships/table" Target="../tables/table17.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 Id="rId22" Type="http://schemas.openxmlformats.org/officeDocument/2006/relationships/table" Target="../tables/table20.xml"/><Relationship Id="rId27"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8558-99EB-424F-8474-B76F717441AB}">
  <sheetPr>
    <tabColor rgb="FF002060"/>
  </sheetPr>
  <dimension ref="B6:V39"/>
  <sheetViews>
    <sheetView showGridLines="0" zoomScale="80" zoomScaleNormal="80" workbookViewId="0">
      <selection activeCell="D11" sqref="D11"/>
    </sheetView>
  </sheetViews>
  <sheetFormatPr defaultRowHeight="14.5" x14ac:dyDescent="0.35"/>
  <cols>
    <col min="1" max="2" width="2.90625" customWidth="1"/>
    <col min="3" max="3" width="30.90625" customWidth="1"/>
    <col min="4" max="4" width="10.54296875" customWidth="1"/>
    <col min="5" max="5" width="2.54296875" customWidth="1"/>
    <col min="6" max="6" width="4.54296875" customWidth="1"/>
  </cols>
  <sheetData>
    <row r="6" spans="2:22" x14ac:dyDescent="0.35">
      <c r="B6" s="222" t="s">
        <v>0</v>
      </c>
      <c r="C6" s="222"/>
    </row>
    <row r="8" spans="2:22" ht="15" thickBot="1" x14ac:dyDescent="0.4"/>
    <row r="9" spans="2:22" ht="15" thickBot="1" x14ac:dyDescent="0.4">
      <c r="B9" s="223"/>
      <c r="C9" s="224" t="s">
        <v>1</v>
      </c>
      <c r="D9" s="225"/>
      <c r="E9" s="226"/>
      <c r="G9" s="273" t="s">
        <v>2</v>
      </c>
      <c r="H9" s="273"/>
      <c r="I9" s="273"/>
      <c r="J9" s="273"/>
      <c r="K9" s="273"/>
      <c r="L9" s="273"/>
      <c r="M9" s="273"/>
      <c r="N9" s="273"/>
      <c r="O9" s="273"/>
      <c r="P9" s="273"/>
      <c r="Q9" s="219"/>
      <c r="R9" s="219"/>
      <c r="S9" s="219"/>
      <c r="T9" s="219"/>
      <c r="U9" s="219"/>
      <c r="V9" s="219"/>
    </row>
    <row r="10" spans="2:22" ht="15" thickBot="1" x14ac:dyDescent="0.4">
      <c r="B10" s="227"/>
      <c r="C10" s="240" t="s">
        <v>3</v>
      </c>
      <c r="D10" s="244" t="s">
        <v>4</v>
      </c>
      <c r="E10" s="228"/>
      <c r="G10" s="249"/>
      <c r="H10" s="249"/>
      <c r="I10" s="249"/>
      <c r="J10" s="249"/>
      <c r="K10" s="249"/>
      <c r="L10" s="249"/>
      <c r="M10" s="249"/>
      <c r="N10" s="249"/>
      <c r="O10" s="249"/>
      <c r="P10" s="249"/>
    </row>
    <row r="11" spans="2:22" x14ac:dyDescent="0.35">
      <c r="B11" s="227"/>
      <c r="C11" s="242" t="s">
        <v>5</v>
      </c>
      <c r="D11" s="239">
        <v>2692</v>
      </c>
      <c r="E11" s="228"/>
      <c r="G11" s="229" t="s">
        <v>6</v>
      </c>
      <c r="H11" s="229"/>
      <c r="I11" s="229"/>
      <c r="J11" s="229"/>
      <c r="K11" s="229"/>
      <c r="L11" s="229"/>
      <c r="M11" s="229"/>
      <c r="N11" s="229"/>
      <c r="O11" s="229"/>
      <c r="P11" s="229"/>
    </row>
    <row r="12" spans="2:22" x14ac:dyDescent="0.35">
      <c r="B12" s="227"/>
      <c r="C12" s="243" t="s">
        <v>7</v>
      </c>
      <c r="D12" s="235">
        <v>164</v>
      </c>
      <c r="E12" s="228"/>
      <c r="G12" s="229" t="s">
        <v>8</v>
      </c>
      <c r="H12" s="229"/>
      <c r="I12" s="229"/>
      <c r="J12" s="229"/>
      <c r="K12" s="229"/>
      <c r="L12" s="229"/>
      <c r="M12" s="229"/>
      <c r="N12" s="229"/>
      <c r="O12" s="229"/>
      <c r="P12" s="229"/>
    </row>
    <row r="13" spans="2:22" x14ac:dyDescent="0.35">
      <c r="B13" s="227"/>
      <c r="C13" s="243" t="s">
        <v>9</v>
      </c>
      <c r="D13" s="235">
        <v>14</v>
      </c>
      <c r="E13" s="228"/>
      <c r="G13" s="229" t="s">
        <v>10</v>
      </c>
      <c r="H13" s="229"/>
      <c r="I13" s="229"/>
      <c r="J13" s="229"/>
      <c r="K13" s="229"/>
      <c r="L13" s="229"/>
      <c r="M13" s="229"/>
      <c r="N13" s="229"/>
      <c r="O13" s="229"/>
      <c r="P13" s="229"/>
    </row>
    <row r="14" spans="2:22" x14ac:dyDescent="0.35">
      <c r="B14" s="227"/>
      <c r="C14" s="243" t="s">
        <v>11</v>
      </c>
      <c r="D14" s="235">
        <v>4</v>
      </c>
      <c r="E14" s="228"/>
      <c r="G14" s="229" t="s">
        <v>12</v>
      </c>
      <c r="H14" s="229"/>
      <c r="I14" s="229"/>
      <c r="J14" s="229"/>
      <c r="K14" s="229"/>
      <c r="L14" s="229"/>
      <c r="M14" s="229"/>
      <c r="N14" s="229"/>
      <c r="O14" s="229"/>
      <c r="P14" s="229"/>
    </row>
    <row r="15" spans="2:22" ht="15" thickBot="1" x14ac:dyDescent="0.4">
      <c r="B15" s="227"/>
      <c r="C15" s="243" t="s">
        <v>13</v>
      </c>
      <c r="D15" s="235">
        <v>120</v>
      </c>
      <c r="E15" s="228"/>
      <c r="G15" s="229" t="s">
        <v>14</v>
      </c>
      <c r="H15" s="229"/>
      <c r="I15" s="229"/>
      <c r="J15" s="229"/>
      <c r="K15" s="229"/>
      <c r="L15" s="229"/>
      <c r="M15" s="229"/>
      <c r="N15" s="229"/>
      <c r="O15" s="229"/>
      <c r="P15" s="229"/>
    </row>
    <row r="16" spans="2:22" ht="15" thickBot="1" x14ac:dyDescent="0.4">
      <c r="B16" s="227"/>
      <c r="C16" s="247" t="s">
        <v>15</v>
      </c>
      <c r="D16" s="245">
        <v>2994</v>
      </c>
      <c r="E16" s="228"/>
      <c r="G16" s="229" t="s">
        <v>16</v>
      </c>
      <c r="H16" s="229"/>
      <c r="I16" s="229"/>
      <c r="J16" s="229"/>
      <c r="K16" s="229"/>
      <c r="L16" s="229"/>
      <c r="M16" s="229"/>
      <c r="N16" s="229"/>
      <c r="O16" s="229"/>
      <c r="P16" s="229"/>
    </row>
    <row r="17" spans="2:22" ht="15" thickBot="1" x14ac:dyDescent="0.4">
      <c r="B17" s="230"/>
      <c r="C17" s="232"/>
      <c r="D17" s="233"/>
      <c r="E17" s="231"/>
      <c r="G17" t="s">
        <v>17</v>
      </c>
      <c r="H17" s="229"/>
      <c r="I17" s="229"/>
      <c r="J17" s="229"/>
      <c r="K17" s="229"/>
      <c r="L17" s="229"/>
      <c r="M17" s="229"/>
      <c r="N17" s="229"/>
      <c r="O17" s="229"/>
      <c r="P17" s="229"/>
    </row>
    <row r="18" spans="2:22" ht="15" thickBot="1" x14ac:dyDescent="0.4">
      <c r="G18" s="229" t="s">
        <v>18</v>
      </c>
      <c r="H18" s="229"/>
      <c r="I18" s="229"/>
      <c r="J18" s="229"/>
      <c r="K18" s="229"/>
      <c r="L18" s="229"/>
      <c r="M18" s="229"/>
      <c r="N18" s="229"/>
      <c r="O18" s="229"/>
      <c r="P18" s="229"/>
    </row>
    <row r="19" spans="2:22" ht="15" thickBot="1" x14ac:dyDescent="0.4">
      <c r="B19" s="223"/>
      <c r="C19" s="224" t="s">
        <v>19</v>
      </c>
      <c r="D19" s="225"/>
      <c r="E19" s="226"/>
    </row>
    <row r="20" spans="2:22" ht="15" thickBot="1" x14ac:dyDescent="0.4">
      <c r="B20" s="227"/>
      <c r="C20" s="245" t="s">
        <v>3</v>
      </c>
      <c r="D20" s="244" t="s">
        <v>4</v>
      </c>
      <c r="E20" s="228"/>
      <c r="G20" s="220" t="s">
        <v>20</v>
      </c>
      <c r="H20" s="221"/>
      <c r="I20" s="221"/>
      <c r="J20" s="221"/>
      <c r="K20" s="221"/>
      <c r="L20" s="221"/>
      <c r="M20" s="221"/>
      <c r="N20" s="221"/>
      <c r="O20" s="219"/>
      <c r="P20" s="219"/>
      <c r="Q20" s="219"/>
      <c r="R20" s="219"/>
      <c r="S20" s="219"/>
      <c r="T20" s="219"/>
      <c r="U20" s="219"/>
      <c r="V20" s="219"/>
    </row>
    <row r="21" spans="2:22" x14ac:dyDescent="0.35">
      <c r="B21" s="227"/>
      <c r="C21" s="242" t="s">
        <v>5</v>
      </c>
      <c r="D21" s="235">
        <v>1126</v>
      </c>
      <c r="E21" s="228"/>
      <c r="G21" s="250"/>
      <c r="H21" s="234"/>
      <c r="I21" s="234"/>
      <c r="J21" s="234"/>
      <c r="K21" s="234"/>
      <c r="L21" s="234"/>
      <c r="M21" s="234"/>
      <c r="N21" s="234"/>
    </row>
    <row r="22" spans="2:22" x14ac:dyDescent="0.35">
      <c r="B22" s="227"/>
      <c r="C22" s="243" t="s">
        <v>7</v>
      </c>
      <c r="D22" s="235">
        <v>123</v>
      </c>
      <c r="E22" s="228"/>
      <c r="G22" t="s">
        <v>21</v>
      </c>
    </row>
    <row r="23" spans="2:22" x14ac:dyDescent="0.35">
      <c r="B23" s="227"/>
      <c r="C23" s="243" t="s">
        <v>9</v>
      </c>
      <c r="D23" s="235">
        <v>10</v>
      </c>
      <c r="E23" s="228"/>
      <c r="G23" t="s">
        <v>22</v>
      </c>
    </row>
    <row r="24" spans="2:22" x14ac:dyDescent="0.35">
      <c r="B24" s="227"/>
      <c r="C24" s="243" t="s">
        <v>11</v>
      </c>
      <c r="D24" s="235">
        <v>6</v>
      </c>
      <c r="E24" s="228"/>
      <c r="G24" t="s">
        <v>23</v>
      </c>
    </row>
    <row r="25" spans="2:22" ht="15" thickBot="1" x14ac:dyDescent="0.4">
      <c r="B25" s="227"/>
      <c r="C25" s="243" t="s">
        <v>13</v>
      </c>
      <c r="D25" s="235">
        <v>82</v>
      </c>
      <c r="E25" s="228"/>
      <c r="G25" t="s">
        <v>24</v>
      </c>
    </row>
    <row r="26" spans="2:22" ht="15" thickBot="1" x14ac:dyDescent="0.4">
      <c r="B26" s="227"/>
      <c r="C26" s="247" t="s">
        <v>15</v>
      </c>
      <c r="D26" s="245">
        <v>1347</v>
      </c>
      <c r="E26" s="228"/>
      <c r="G26" t="s">
        <v>25</v>
      </c>
    </row>
    <row r="27" spans="2:22" ht="15" thickBot="1" x14ac:dyDescent="0.4">
      <c r="B27" s="230"/>
      <c r="C27" s="233"/>
      <c r="D27" s="233"/>
      <c r="E27" s="231"/>
      <c r="G27" t="s">
        <v>26</v>
      </c>
      <c r="P27" s="234"/>
    </row>
    <row r="28" spans="2:22" ht="15" thickBot="1" x14ac:dyDescent="0.4">
      <c r="C28" s="194"/>
      <c r="G28" t="s">
        <v>27</v>
      </c>
    </row>
    <row r="29" spans="2:22" ht="15" thickBot="1" x14ac:dyDescent="0.4">
      <c r="B29" s="223"/>
      <c r="C29" s="224" t="s">
        <v>28</v>
      </c>
      <c r="D29" s="225"/>
      <c r="E29" s="226"/>
      <c r="G29" t="s">
        <v>29</v>
      </c>
    </row>
    <row r="30" spans="2:22" ht="15" thickBot="1" x14ac:dyDescent="0.4">
      <c r="B30" s="227"/>
      <c r="C30" s="240" t="s">
        <v>3</v>
      </c>
      <c r="D30" s="246" t="s">
        <v>30</v>
      </c>
      <c r="E30" s="228"/>
      <c r="G30" t="s">
        <v>31</v>
      </c>
    </row>
    <row r="31" spans="2:22" ht="15" thickBot="1" x14ac:dyDescent="0.4">
      <c r="B31" s="227"/>
      <c r="C31" s="241" t="s">
        <v>32</v>
      </c>
      <c r="D31" s="226">
        <v>834</v>
      </c>
      <c r="E31" s="228"/>
      <c r="G31" t="s">
        <v>33</v>
      </c>
    </row>
    <row r="32" spans="2:22" ht="15" thickBot="1" x14ac:dyDescent="0.4">
      <c r="B32" s="227"/>
      <c r="C32" s="248" t="s">
        <v>15</v>
      </c>
      <c r="D32" s="245">
        <v>834</v>
      </c>
      <c r="E32" s="228"/>
      <c r="G32" t="s">
        <v>34</v>
      </c>
      <c r="H32" s="151"/>
      <c r="I32" s="151"/>
      <c r="J32" s="151"/>
      <c r="K32" s="151"/>
      <c r="L32" s="151"/>
      <c r="M32" s="151"/>
      <c r="N32" s="151"/>
    </row>
    <row r="33" spans="2:16" ht="15" thickBot="1" x14ac:dyDescent="0.4">
      <c r="B33" s="230"/>
      <c r="C33" s="233"/>
      <c r="D33" s="233"/>
      <c r="E33" s="231"/>
    </row>
    <row r="34" spans="2:16" ht="15" thickBot="1" x14ac:dyDescent="0.4"/>
    <row r="35" spans="2:16" ht="15" thickBot="1" x14ac:dyDescent="0.4">
      <c r="B35" s="223"/>
      <c r="C35" s="238" t="s">
        <v>35</v>
      </c>
      <c r="D35" s="236"/>
      <c r="E35" s="226"/>
    </row>
    <row r="36" spans="2:16" ht="15" thickBot="1" x14ac:dyDescent="0.4">
      <c r="B36" s="227"/>
      <c r="C36" s="240" t="s">
        <v>3</v>
      </c>
      <c r="D36" s="246" t="s">
        <v>30</v>
      </c>
      <c r="E36" s="228"/>
      <c r="O36" s="151"/>
      <c r="P36" s="151"/>
    </row>
    <row r="37" spans="2:16" ht="15" thickBot="1" x14ac:dyDescent="0.4">
      <c r="B37" s="227"/>
      <c r="C37" s="241" t="s">
        <v>32</v>
      </c>
      <c r="D37" s="239">
        <v>834</v>
      </c>
      <c r="E37" s="228"/>
    </row>
    <row r="38" spans="2:16" ht="15" thickBot="1" x14ac:dyDescent="0.4">
      <c r="B38" s="227"/>
      <c r="C38" s="248" t="s">
        <v>15</v>
      </c>
      <c r="D38" s="245">
        <v>834</v>
      </c>
      <c r="E38" s="228"/>
    </row>
    <row r="39" spans="2:16" ht="15" thickBot="1" x14ac:dyDescent="0.4">
      <c r="B39" s="230"/>
      <c r="C39" s="233"/>
      <c r="D39" s="237"/>
      <c r="E39" s="231"/>
    </row>
  </sheetData>
  <mergeCells count="1">
    <mergeCell ref="G9:P9"/>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1"/>
  <dimension ref="A1:B16"/>
  <sheetViews>
    <sheetView showGridLines="0" zoomScale="80" zoomScaleNormal="80" zoomScaleSheetLayoutView="115" workbookViewId="0">
      <selection activeCell="B16" sqref="B16"/>
    </sheetView>
  </sheetViews>
  <sheetFormatPr defaultColWidth="9.453125" defaultRowHeight="14.5" x14ac:dyDescent="0.35"/>
  <cols>
    <col min="1" max="1" width="161.08984375" style="218" customWidth="1"/>
    <col min="2" max="2" width="70.08984375" style="216" customWidth="1"/>
    <col min="3" max="16181" width="9.453125" style="216" customWidth="1"/>
    <col min="16182" max="16384" width="9.453125" style="216"/>
  </cols>
  <sheetData>
    <row r="1" spans="1:2" s="78" customFormat="1" ht="80.150000000000006" customHeight="1" x14ac:dyDescent="0.35">
      <c r="A1" s="271" t="s">
        <v>36</v>
      </c>
      <c r="B1" s="276"/>
    </row>
    <row r="2" spans="1:2" s="78" customFormat="1" ht="20.149999999999999" customHeight="1" x14ac:dyDescent="0.35">
      <c r="A2" s="274" t="s">
        <v>37</v>
      </c>
      <c r="B2" s="275"/>
    </row>
    <row r="3" spans="1:2" s="78" customFormat="1" ht="20.149999999999999" customHeight="1" x14ac:dyDescent="0.35">
      <c r="A3" s="274" t="s">
        <v>38</v>
      </c>
      <c r="B3" s="275"/>
    </row>
    <row r="4" spans="1:2" s="78" customFormat="1" ht="20.149999999999999" customHeight="1" x14ac:dyDescent="0.35">
      <c r="A4" s="256" t="s">
        <v>39</v>
      </c>
      <c r="B4" s="251" t="s">
        <v>40</v>
      </c>
    </row>
    <row r="5" spans="1:2" ht="40.5" customHeight="1" x14ac:dyDescent="0.35">
      <c r="A5" s="253" t="s">
        <v>41</v>
      </c>
      <c r="B5" s="255" t="s">
        <v>42</v>
      </c>
    </row>
    <row r="6" spans="1:2" ht="40.5" customHeight="1" x14ac:dyDescent="0.35">
      <c r="A6" s="253" t="s">
        <v>43</v>
      </c>
      <c r="B6" s="255" t="s">
        <v>44</v>
      </c>
    </row>
    <row r="7" spans="1:2" ht="40.5" customHeight="1" x14ac:dyDescent="0.35">
      <c r="A7" s="253" t="s">
        <v>45</v>
      </c>
      <c r="B7" s="255" t="s">
        <v>46</v>
      </c>
    </row>
    <row r="8" spans="1:2" ht="40.5" customHeight="1" x14ac:dyDescent="0.35">
      <c r="A8" s="254" t="s">
        <v>47</v>
      </c>
      <c r="B8" s="255" t="s">
        <v>48</v>
      </c>
    </row>
    <row r="9" spans="1:2" ht="40.5" customHeight="1" x14ac:dyDescent="0.35">
      <c r="A9" s="253" t="s">
        <v>49</v>
      </c>
      <c r="B9" s="255" t="s">
        <v>50</v>
      </c>
    </row>
    <row r="10" spans="1:2" ht="40.5" customHeight="1" x14ac:dyDescent="0.35">
      <c r="A10" s="253" t="s">
        <v>51</v>
      </c>
      <c r="B10" s="255" t="s">
        <v>50</v>
      </c>
    </row>
    <row r="11" spans="1:2" ht="40.5" customHeight="1" x14ac:dyDescent="0.35">
      <c r="A11" s="253" t="s">
        <v>52</v>
      </c>
      <c r="B11" s="255" t="s">
        <v>50</v>
      </c>
    </row>
    <row r="12" spans="1:2" ht="40.5" customHeight="1" x14ac:dyDescent="0.35">
      <c r="A12" s="253" t="s">
        <v>53</v>
      </c>
      <c r="B12" s="255" t="s">
        <v>50</v>
      </c>
    </row>
    <row r="13" spans="1:2" ht="40.5" customHeight="1" x14ac:dyDescent="0.35">
      <c r="A13" s="254" t="s">
        <v>54</v>
      </c>
      <c r="B13" s="255" t="s">
        <v>55</v>
      </c>
    </row>
    <row r="14" spans="1:2" ht="40.5" customHeight="1" x14ac:dyDescent="0.35">
      <c r="A14" s="254" t="s">
        <v>56</v>
      </c>
      <c r="B14" s="255" t="s">
        <v>57</v>
      </c>
    </row>
    <row r="15" spans="1:2" ht="40.5" customHeight="1" x14ac:dyDescent="0.35">
      <c r="A15" s="254" t="s">
        <v>58</v>
      </c>
      <c r="B15" s="255" t="s">
        <v>59</v>
      </c>
    </row>
    <row r="16" spans="1:2" ht="40.5" customHeight="1" x14ac:dyDescent="0.35">
      <c r="A16" s="254" t="s">
        <v>60</v>
      </c>
      <c r="B16" s="255" t="s">
        <v>61</v>
      </c>
    </row>
  </sheetData>
  <mergeCells count="3">
    <mergeCell ref="A2:B2"/>
    <mergeCell ref="A3:B3"/>
    <mergeCell ref="A1:B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91A39-784D-4899-B524-E027EAF796C0}">
  <dimension ref="B1:B46"/>
  <sheetViews>
    <sheetView showGridLines="0" topLeftCell="A31" workbookViewId="0">
      <selection activeCell="B43" sqref="B43"/>
    </sheetView>
  </sheetViews>
  <sheetFormatPr defaultRowHeight="14.5" x14ac:dyDescent="0.35"/>
  <cols>
    <col min="2" max="2" width="71.453125" bestFit="1" customWidth="1"/>
    <col min="4" max="4" width="15" customWidth="1"/>
  </cols>
  <sheetData>
    <row r="1" spans="2:2" x14ac:dyDescent="0.35">
      <c r="B1" s="217" t="s">
        <v>62</v>
      </c>
    </row>
    <row r="2" spans="2:2" x14ac:dyDescent="0.35">
      <c r="B2" t="s">
        <v>63</v>
      </c>
    </row>
    <row r="3" spans="2:2" x14ac:dyDescent="0.35">
      <c r="B3" t="s">
        <v>64</v>
      </c>
    </row>
    <row r="4" spans="2:2" x14ac:dyDescent="0.35">
      <c r="B4" t="s">
        <v>65</v>
      </c>
    </row>
    <row r="5" spans="2:2" x14ac:dyDescent="0.35">
      <c r="B5" t="s">
        <v>66</v>
      </c>
    </row>
    <row r="6" spans="2:2" x14ac:dyDescent="0.35">
      <c r="B6" t="s">
        <v>67</v>
      </c>
    </row>
    <row r="7" spans="2:2" x14ac:dyDescent="0.35">
      <c r="B7" t="s">
        <v>68</v>
      </c>
    </row>
    <row r="8" spans="2:2" x14ac:dyDescent="0.35">
      <c r="B8" t="s">
        <v>69</v>
      </c>
    </row>
    <row r="9" spans="2:2" x14ac:dyDescent="0.35">
      <c r="B9" t="s">
        <v>70</v>
      </c>
    </row>
    <row r="10" spans="2:2" x14ac:dyDescent="0.35">
      <c r="B10" t="s">
        <v>71</v>
      </c>
    </row>
    <row r="11" spans="2:2" x14ac:dyDescent="0.35">
      <c r="B11" t="s">
        <v>72</v>
      </c>
    </row>
    <row r="12" spans="2:2" x14ac:dyDescent="0.35">
      <c r="B12" t="s">
        <v>73</v>
      </c>
    </row>
    <row r="13" spans="2:2" x14ac:dyDescent="0.35">
      <c r="B13" t="s">
        <v>74</v>
      </c>
    </row>
    <row r="14" spans="2:2" x14ac:dyDescent="0.35">
      <c r="B14" t="s">
        <v>75</v>
      </c>
    </row>
    <row r="15" spans="2:2" x14ac:dyDescent="0.35">
      <c r="B15" t="s">
        <v>76</v>
      </c>
    </row>
    <row r="16" spans="2:2" x14ac:dyDescent="0.35">
      <c r="B16" t="s">
        <v>77</v>
      </c>
    </row>
    <row r="17" spans="2:2" x14ac:dyDescent="0.35">
      <c r="B17" t="s">
        <v>78</v>
      </c>
    </row>
    <row r="18" spans="2:2" x14ac:dyDescent="0.35">
      <c r="B18" t="s">
        <v>79</v>
      </c>
    </row>
    <row r="21" spans="2:2" x14ac:dyDescent="0.35">
      <c r="B21" t="s">
        <v>80</v>
      </c>
    </row>
    <row r="22" spans="2:2" x14ac:dyDescent="0.35">
      <c r="B22" t="s">
        <v>81</v>
      </c>
    </row>
    <row r="23" spans="2:2" x14ac:dyDescent="0.35">
      <c r="B23" t="s">
        <v>82</v>
      </c>
    </row>
    <row r="25" spans="2:2" x14ac:dyDescent="0.35">
      <c r="B25" t="s">
        <v>83</v>
      </c>
    </row>
    <row r="26" spans="2:2" x14ac:dyDescent="0.35">
      <c r="B26" t="s">
        <v>84</v>
      </c>
    </row>
    <row r="27" spans="2:2" x14ac:dyDescent="0.35">
      <c r="B27" t="s">
        <v>85</v>
      </c>
    </row>
    <row r="29" spans="2:2" x14ac:dyDescent="0.35">
      <c r="B29" t="s">
        <v>86</v>
      </c>
    </row>
    <row r="30" spans="2:2" x14ac:dyDescent="0.35">
      <c r="B30" t="s">
        <v>87</v>
      </c>
    </row>
    <row r="31" spans="2:2" x14ac:dyDescent="0.35">
      <c r="B31" t="s">
        <v>88</v>
      </c>
    </row>
    <row r="32" spans="2:2" x14ac:dyDescent="0.35">
      <c r="B32" t="s">
        <v>89</v>
      </c>
    </row>
    <row r="33" spans="2:2" x14ac:dyDescent="0.35">
      <c r="B33" t="s">
        <v>90</v>
      </c>
    </row>
    <row r="34" spans="2:2" x14ac:dyDescent="0.35">
      <c r="B34" t="s">
        <v>91</v>
      </c>
    </row>
    <row r="36" spans="2:2" x14ac:dyDescent="0.35">
      <c r="B36" t="s">
        <v>92</v>
      </c>
    </row>
    <row r="37" spans="2:2" x14ac:dyDescent="0.35">
      <c r="B37" t="s">
        <v>93</v>
      </c>
    </row>
    <row r="38" spans="2:2" x14ac:dyDescent="0.35">
      <c r="B38" t="s">
        <v>94</v>
      </c>
    </row>
    <row r="39" spans="2:2" x14ac:dyDescent="0.35">
      <c r="B39" t="s">
        <v>95</v>
      </c>
    </row>
    <row r="40" spans="2:2" x14ac:dyDescent="0.35">
      <c r="B40" t="s">
        <v>96</v>
      </c>
    </row>
    <row r="42" spans="2:2" x14ac:dyDescent="0.35">
      <c r="B42" t="s">
        <v>97</v>
      </c>
    </row>
    <row r="43" spans="2:2" x14ac:dyDescent="0.35">
      <c r="B43" t="s">
        <v>98</v>
      </c>
    </row>
    <row r="44" spans="2:2" x14ac:dyDescent="0.35">
      <c r="B44" t="s">
        <v>99</v>
      </c>
    </row>
    <row r="45" spans="2:2" x14ac:dyDescent="0.35">
      <c r="B45" t="s">
        <v>100</v>
      </c>
    </row>
    <row r="46" spans="2:2" x14ac:dyDescent="0.35">
      <c r="B46" t="s">
        <v>101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13"/>
  <dimension ref="A1:O50"/>
  <sheetViews>
    <sheetView showGridLines="0" topLeftCell="E1" zoomScale="80" zoomScaleNormal="80" workbookViewId="0">
      <selection activeCell="E17" sqref="E17"/>
    </sheetView>
  </sheetViews>
  <sheetFormatPr defaultColWidth="9.453125" defaultRowHeight="14.5" x14ac:dyDescent="0.35"/>
  <cols>
    <col min="1" max="1" width="26" style="216" customWidth="1"/>
    <col min="2" max="2" width="66.6328125" style="216" customWidth="1"/>
    <col min="3" max="3" width="13.6328125" style="216" customWidth="1"/>
    <col min="4" max="4" width="14.54296875" style="216" customWidth="1"/>
    <col min="5" max="5" width="21.90625" style="216" customWidth="1"/>
    <col min="6" max="8" width="22.54296875" style="216" customWidth="1"/>
    <col min="9" max="9" width="24" style="216" customWidth="1"/>
    <col min="10" max="10" width="22.54296875" style="216" customWidth="1"/>
    <col min="11" max="11" width="24" style="216" customWidth="1"/>
    <col min="12" max="12" width="23.36328125" style="216" customWidth="1"/>
    <col min="13" max="13" width="24.54296875" style="216" customWidth="1"/>
    <col min="14" max="14" width="21.54296875" style="216" customWidth="1"/>
    <col min="15" max="15" width="21.54296875" style="216" bestFit="1" customWidth="1"/>
    <col min="16" max="16384" width="9.453125" style="216"/>
  </cols>
  <sheetData>
    <row r="1" spans="1:15" s="78" customFormat="1" ht="80.150000000000006" customHeight="1" x14ac:dyDescent="0.35">
      <c r="A1" s="277" t="s">
        <v>36</v>
      </c>
      <c r="B1" s="278"/>
      <c r="C1" s="278"/>
      <c r="D1" s="278"/>
      <c r="E1" s="278"/>
      <c r="F1" s="278"/>
      <c r="G1" s="278"/>
      <c r="H1" s="278"/>
      <c r="I1" s="278"/>
      <c r="J1" s="278"/>
      <c r="K1" s="278"/>
      <c r="L1" s="278"/>
      <c r="M1" s="278"/>
      <c r="N1" s="278"/>
      <c r="O1" s="279"/>
    </row>
    <row r="2" spans="1:15" s="78" customFormat="1" ht="20.149999999999999" customHeight="1" x14ac:dyDescent="0.35">
      <c r="A2" s="280" t="s">
        <v>102</v>
      </c>
      <c r="B2" s="281"/>
      <c r="C2" s="281"/>
      <c r="D2" s="281"/>
      <c r="E2" s="281"/>
      <c r="F2" s="281"/>
      <c r="G2" s="281"/>
      <c r="H2" s="281"/>
      <c r="I2" s="281"/>
      <c r="J2" s="281"/>
      <c r="K2" s="281"/>
      <c r="L2" s="281"/>
      <c r="M2" s="281"/>
      <c r="N2" s="281"/>
      <c r="O2" s="282"/>
    </row>
    <row r="3" spans="1:15" s="78" customFormat="1" ht="20.149999999999999" customHeight="1" x14ac:dyDescent="0.35">
      <c r="A3" s="253" t="s">
        <v>103</v>
      </c>
      <c r="B3" s="253" t="s">
        <v>104</v>
      </c>
      <c r="C3" s="253" t="s">
        <v>105</v>
      </c>
      <c r="D3" s="253" t="s">
        <v>106</v>
      </c>
      <c r="E3" s="253" t="s">
        <v>107</v>
      </c>
      <c r="F3" s="253" t="s">
        <v>108</v>
      </c>
      <c r="G3" s="253" t="s">
        <v>109</v>
      </c>
      <c r="H3" s="253" t="s">
        <v>110</v>
      </c>
      <c r="I3" s="253" t="s">
        <v>111</v>
      </c>
      <c r="J3" s="253" t="s">
        <v>112</v>
      </c>
      <c r="K3" s="253" t="s">
        <v>113</v>
      </c>
      <c r="L3" s="253" t="s">
        <v>114</v>
      </c>
      <c r="M3" s="253" t="s">
        <v>115</v>
      </c>
      <c r="N3" s="253" t="s">
        <v>116</v>
      </c>
      <c r="O3" s="253" t="s">
        <v>117</v>
      </c>
    </row>
    <row r="4" spans="1:15" ht="20.149999999999999" customHeight="1" x14ac:dyDescent="0.35">
      <c r="A4" s="252" t="s">
        <v>954</v>
      </c>
      <c r="B4" s="252" t="s">
        <v>950</v>
      </c>
      <c r="C4" s="252" t="s">
        <v>953</v>
      </c>
      <c r="D4" s="252" t="s">
        <v>963</v>
      </c>
      <c r="E4" s="252" t="s">
        <v>967</v>
      </c>
      <c r="F4" s="252" t="s">
        <v>974</v>
      </c>
      <c r="G4" s="252" t="s">
        <v>975</v>
      </c>
      <c r="H4" s="252" t="s">
        <v>978</v>
      </c>
      <c r="I4" s="252" t="s">
        <v>978</v>
      </c>
      <c r="J4" s="252" t="s">
        <v>979</v>
      </c>
      <c r="K4" s="252" t="s">
        <v>978</v>
      </c>
      <c r="L4" s="252" t="s">
        <v>979</v>
      </c>
      <c r="M4" s="252" t="s">
        <v>978</v>
      </c>
      <c r="N4" s="252" t="s">
        <v>980</v>
      </c>
      <c r="O4" s="267">
        <v>1688876945.9399986</v>
      </c>
    </row>
    <row r="5" spans="1:15" ht="20.149999999999999" customHeight="1" x14ac:dyDescent="0.35">
      <c r="A5" s="252" t="s">
        <v>955</v>
      </c>
      <c r="B5" s="252" t="s">
        <v>951</v>
      </c>
      <c r="C5" s="252" t="s">
        <v>953</v>
      </c>
      <c r="D5" s="252" t="s">
        <v>964</v>
      </c>
      <c r="E5" s="252" t="s">
        <v>969</v>
      </c>
      <c r="F5" s="252" t="s">
        <v>974</v>
      </c>
      <c r="G5" s="252" t="s">
        <v>975</v>
      </c>
      <c r="H5" s="252" t="s">
        <v>978</v>
      </c>
      <c r="I5" s="252" t="s">
        <v>978</v>
      </c>
      <c r="J5" s="252" t="s">
        <v>979</v>
      </c>
      <c r="K5" s="252" t="s">
        <v>978</v>
      </c>
      <c r="L5" s="252" t="s">
        <v>979</v>
      </c>
      <c r="M5" s="252" t="s">
        <v>978</v>
      </c>
      <c r="N5" s="252" t="s">
        <v>980</v>
      </c>
      <c r="O5" s="267">
        <v>0</v>
      </c>
    </row>
    <row r="6" spans="1:15" ht="20.149999999999999" customHeight="1" x14ac:dyDescent="0.35">
      <c r="A6" s="252" t="s">
        <v>956</v>
      </c>
      <c r="B6" s="252" t="s">
        <v>951</v>
      </c>
      <c r="C6" s="252" t="s">
        <v>952</v>
      </c>
      <c r="D6" s="252" t="s">
        <v>964</v>
      </c>
      <c r="E6" s="252" t="s">
        <v>970</v>
      </c>
      <c r="F6" s="252" t="s">
        <v>974</v>
      </c>
      <c r="G6" s="252" t="s">
        <v>976</v>
      </c>
      <c r="H6" s="252" t="s">
        <v>978</v>
      </c>
      <c r="I6" s="252" t="s">
        <v>978</v>
      </c>
      <c r="J6" s="252" t="s">
        <v>979</v>
      </c>
      <c r="K6" s="252" t="s">
        <v>978</v>
      </c>
      <c r="L6" s="252" t="s">
        <v>979</v>
      </c>
      <c r="M6" s="252" t="s">
        <v>978</v>
      </c>
      <c r="N6" s="252" t="s">
        <v>980</v>
      </c>
      <c r="O6" s="267">
        <v>1099425106.5000007</v>
      </c>
    </row>
    <row r="7" spans="1:15" ht="20.149999999999999" customHeight="1" x14ac:dyDescent="0.35">
      <c r="A7" s="252" t="s">
        <v>957</v>
      </c>
      <c r="B7" s="252" t="s">
        <v>951</v>
      </c>
      <c r="C7" s="252" t="s">
        <v>952</v>
      </c>
      <c r="D7" s="252" t="s">
        <v>964</v>
      </c>
      <c r="E7" s="252" t="s">
        <v>970</v>
      </c>
      <c r="F7" s="252" t="s">
        <v>974</v>
      </c>
      <c r="G7" s="252" t="s">
        <v>975</v>
      </c>
      <c r="H7" s="252" t="s">
        <v>978</v>
      </c>
      <c r="I7" s="252" t="s">
        <v>978</v>
      </c>
      <c r="J7" s="252" t="s">
        <v>979</v>
      </c>
      <c r="K7" s="252" t="s">
        <v>978</v>
      </c>
      <c r="L7" s="252" t="s">
        <v>979</v>
      </c>
      <c r="M7" s="252" t="s">
        <v>978</v>
      </c>
      <c r="N7" s="252" t="s">
        <v>980</v>
      </c>
      <c r="O7" s="267">
        <v>581312841.74999928</v>
      </c>
    </row>
    <row r="8" spans="1:15" ht="20.149999999999999" customHeight="1" x14ac:dyDescent="0.35">
      <c r="A8" s="252" t="s">
        <v>958</v>
      </c>
      <c r="B8" s="252" t="s">
        <v>951</v>
      </c>
      <c r="C8" s="252" t="s">
        <v>952</v>
      </c>
      <c r="D8" s="252" t="s">
        <v>964</v>
      </c>
      <c r="E8" s="252" t="s">
        <v>971</v>
      </c>
      <c r="F8" s="252" t="s">
        <v>974</v>
      </c>
      <c r="G8" s="252" t="s">
        <v>975</v>
      </c>
      <c r="H8" s="252" t="s">
        <v>978</v>
      </c>
      <c r="I8" s="252" t="s">
        <v>978</v>
      </c>
      <c r="J8" s="252" t="s">
        <v>979</v>
      </c>
      <c r="K8" s="252" t="s">
        <v>978</v>
      </c>
      <c r="L8" s="252" t="s">
        <v>979</v>
      </c>
      <c r="M8" s="252" t="s">
        <v>978</v>
      </c>
      <c r="N8" s="252" t="s">
        <v>980</v>
      </c>
      <c r="O8" s="267">
        <v>476491612.57000005</v>
      </c>
    </row>
    <row r="9" spans="1:15" ht="20.149999999999999" customHeight="1" x14ac:dyDescent="0.35">
      <c r="A9" s="252" t="s">
        <v>959</v>
      </c>
      <c r="B9" s="252" t="s">
        <v>951</v>
      </c>
      <c r="C9" s="252" t="s">
        <v>952</v>
      </c>
      <c r="D9" s="252" t="s">
        <v>964</v>
      </c>
      <c r="E9" s="252" t="s">
        <v>972</v>
      </c>
      <c r="F9" s="252" t="s">
        <v>974</v>
      </c>
      <c r="G9" s="252" t="s">
        <v>975</v>
      </c>
      <c r="H9" s="252" t="s">
        <v>978</v>
      </c>
      <c r="I9" s="252" t="s">
        <v>978</v>
      </c>
      <c r="J9" s="252" t="s">
        <v>979</v>
      </c>
      <c r="K9" s="252" t="s">
        <v>978</v>
      </c>
      <c r="L9" s="252" t="s">
        <v>979</v>
      </c>
      <c r="M9" s="252" t="s">
        <v>978</v>
      </c>
      <c r="N9" s="252" t="s">
        <v>980</v>
      </c>
      <c r="O9" s="267">
        <v>267620937.11999965</v>
      </c>
    </row>
    <row r="10" spans="1:15" ht="20.149999999999999" customHeight="1" x14ac:dyDescent="0.35">
      <c r="A10" s="252" t="s">
        <v>960</v>
      </c>
      <c r="B10" s="252" t="s">
        <v>951</v>
      </c>
      <c r="C10" s="252" t="s">
        <v>952</v>
      </c>
      <c r="D10" s="252" t="s">
        <v>964</v>
      </c>
      <c r="E10" s="252" t="s">
        <v>973</v>
      </c>
      <c r="F10" s="252" t="s">
        <v>974</v>
      </c>
      <c r="G10" s="252" t="s">
        <v>977</v>
      </c>
      <c r="H10" s="252" t="s">
        <v>978</v>
      </c>
      <c r="I10" s="252" t="s">
        <v>978</v>
      </c>
      <c r="J10" s="252" t="s">
        <v>979</v>
      </c>
      <c r="K10" s="252" t="s">
        <v>978</v>
      </c>
      <c r="L10" s="252" t="s">
        <v>979</v>
      </c>
      <c r="M10" s="252" t="s">
        <v>978</v>
      </c>
      <c r="N10" s="252" t="s">
        <v>980</v>
      </c>
      <c r="O10" s="267">
        <v>1128254347.4900033</v>
      </c>
    </row>
    <row r="11" spans="1:15" ht="20.149999999999999" customHeight="1" x14ac:dyDescent="0.35">
      <c r="A11" s="252" t="s">
        <v>961</v>
      </c>
      <c r="B11" s="252" t="s">
        <v>951</v>
      </c>
      <c r="C11" s="252" t="s">
        <v>952</v>
      </c>
      <c r="D11" s="252" t="s">
        <v>965</v>
      </c>
      <c r="E11" s="252" t="s">
        <v>968</v>
      </c>
      <c r="F11" s="252" t="s">
        <v>974</v>
      </c>
      <c r="G11" s="252" t="s">
        <v>975</v>
      </c>
      <c r="H11" s="252" t="s">
        <v>978</v>
      </c>
      <c r="I11" s="252" t="s">
        <v>978</v>
      </c>
      <c r="J11" s="252" t="s">
        <v>979</v>
      </c>
      <c r="K11" s="252" t="s">
        <v>978</v>
      </c>
      <c r="L11" s="252" t="s">
        <v>979</v>
      </c>
      <c r="M11" s="252" t="s">
        <v>978</v>
      </c>
      <c r="N11" s="252" t="s">
        <v>980</v>
      </c>
      <c r="O11" s="267">
        <v>188113648.7000002</v>
      </c>
    </row>
    <row r="12" spans="1:15" ht="20.149999999999999" customHeight="1" x14ac:dyDescent="0.35">
      <c r="A12" s="252" t="s">
        <v>962</v>
      </c>
      <c r="B12" s="252" t="s">
        <v>951</v>
      </c>
      <c r="C12" s="252" t="s">
        <v>952</v>
      </c>
      <c r="D12" s="252" t="s">
        <v>963</v>
      </c>
      <c r="E12" s="252" t="s">
        <v>967</v>
      </c>
      <c r="F12" s="252" t="s">
        <v>974</v>
      </c>
      <c r="G12" s="252" t="s">
        <v>975</v>
      </c>
      <c r="H12" s="252" t="s">
        <v>978</v>
      </c>
      <c r="I12" s="252" t="s">
        <v>978</v>
      </c>
      <c r="J12" s="252" t="s">
        <v>979</v>
      </c>
      <c r="K12" s="252" t="s">
        <v>978</v>
      </c>
      <c r="L12" s="252" t="s">
        <v>979</v>
      </c>
      <c r="M12" s="252" t="s">
        <v>978</v>
      </c>
      <c r="N12" s="252" t="s">
        <v>980</v>
      </c>
      <c r="O12" s="267">
        <v>3050590233.0199962</v>
      </c>
    </row>
    <row r="13" spans="1:15" ht="20.149999999999999" customHeight="1" x14ac:dyDescent="0.35">
      <c r="A13" s="252" t="s">
        <v>966</v>
      </c>
      <c r="B13" s="252" t="s">
        <v>951</v>
      </c>
      <c r="C13" s="252" t="s">
        <v>952</v>
      </c>
      <c r="D13" s="252" t="s">
        <v>963</v>
      </c>
      <c r="E13" s="252" t="s">
        <v>967</v>
      </c>
      <c r="F13" s="252" t="s">
        <v>974</v>
      </c>
      <c r="G13" s="252" t="s">
        <v>975</v>
      </c>
      <c r="H13" s="252" t="s">
        <v>978</v>
      </c>
      <c r="I13" s="252" t="s">
        <v>978</v>
      </c>
      <c r="J13" s="252" t="s">
        <v>979</v>
      </c>
      <c r="K13" s="252" t="s">
        <v>978</v>
      </c>
      <c r="L13" s="252" t="s">
        <v>979</v>
      </c>
      <c r="M13" s="252" t="s">
        <v>978</v>
      </c>
      <c r="N13" s="252" t="s">
        <v>980</v>
      </c>
      <c r="O13" s="267">
        <v>156181823.43000007</v>
      </c>
    </row>
    <row r="14" spans="1:15" ht="19.75" customHeight="1" x14ac:dyDescent="0.35">
      <c r="A14" s="252"/>
      <c r="B14" s="252"/>
      <c r="C14" s="252"/>
      <c r="D14" s="252"/>
      <c r="E14" s="252"/>
      <c r="F14" s="252"/>
      <c r="G14" s="252"/>
      <c r="H14" s="252"/>
      <c r="I14" s="252"/>
      <c r="J14" s="252"/>
      <c r="K14" s="252"/>
      <c r="L14" s="252"/>
      <c r="M14" s="252"/>
      <c r="N14" s="252"/>
      <c r="O14" s="252"/>
    </row>
    <row r="15" spans="1:15" ht="20.149999999999999" customHeight="1" x14ac:dyDescent="0.35">
      <c r="A15" s="252"/>
      <c r="B15" s="252"/>
      <c r="C15" s="252"/>
      <c r="D15" s="252"/>
      <c r="E15" s="252"/>
      <c r="F15" s="252"/>
      <c r="G15" s="252"/>
      <c r="H15" s="252"/>
      <c r="I15" s="252"/>
      <c r="J15" s="252"/>
      <c r="K15" s="252"/>
      <c r="L15" s="252"/>
      <c r="M15" s="252"/>
      <c r="N15" s="252"/>
      <c r="O15" s="252"/>
    </row>
    <row r="16" spans="1:15" ht="20.149999999999999" customHeight="1" x14ac:dyDescent="0.35">
      <c r="A16" s="252"/>
      <c r="B16" s="252"/>
      <c r="C16" s="252"/>
      <c r="D16" s="252"/>
      <c r="E16" s="252"/>
      <c r="F16" s="252"/>
      <c r="G16" s="252"/>
      <c r="H16" s="252"/>
      <c r="I16" s="252"/>
      <c r="J16" s="252"/>
      <c r="K16" s="252"/>
      <c r="L16" s="252"/>
      <c r="M16" s="252"/>
      <c r="N16" s="252"/>
      <c r="O16" s="252"/>
    </row>
    <row r="17" spans="1:15" ht="20.149999999999999" customHeight="1" x14ac:dyDescent="0.35">
      <c r="A17" s="252"/>
      <c r="B17" s="252"/>
      <c r="C17" s="252"/>
      <c r="D17" s="252"/>
      <c r="E17" s="252"/>
      <c r="F17" s="252"/>
      <c r="G17" s="252"/>
      <c r="H17" s="252"/>
      <c r="I17" s="252"/>
      <c r="J17" s="252"/>
      <c r="K17" s="252"/>
      <c r="L17" s="252"/>
      <c r="M17" s="252"/>
      <c r="N17" s="252"/>
      <c r="O17" s="252"/>
    </row>
    <row r="18" spans="1:15" ht="20.149999999999999" customHeight="1" x14ac:dyDescent="0.35">
      <c r="A18" s="252"/>
      <c r="B18" s="252"/>
      <c r="C18" s="252"/>
      <c r="D18" s="252"/>
      <c r="E18" s="252"/>
      <c r="F18" s="252"/>
      <c r="G18" s="252"/>
      <c r="H18" s="252"/>
      <c r="I18" s="252"/>
      <c r="J18" s="252"/>
      <c r="K18" s="252"/>
      <c r="L18" s="252"/>
      <c r="M18" s="252"/>
      <c r="N18" s="252"/>
      <c r="O18" s="252"/>
    </row>
    <row r="19" spans="1:15" ht="20.149999999999999" customHeight="1" x14ac:dyDescent="0.35">
      <c r="A19" s="252"/>
      <c r="B19" s="252"/>
      <c r="C19" s="252"/>
      <c r="D19" s="252"/>
      <c r="E19" s="252"/>
      <c r="F19" s="252"/>
      <c r="G19" s="252"/>
      <c r="H19" s="252"/>
      <c r="I19" s="252"/>
      <c r="J19" s="252"/>
      <c r="K19" s="252"/>
      <c r="L19" s="252"/>
      <c r="M19" s="252"/>
      <c r="N19" s="252"/>
      <c r="O19" s="252"/>
    </row>
    <row r="20" spans="1:15" ht="20.149999999999999" customHeight="1" x14ac:dyDescent="0.35">
      <c r="A20" s="252"/>
      <c r="B20" s="252"/>
      <c r="C20" s="252"/>
      <c r="D20" s="252"/>
      <c r="E20" s="252"/>
      <c r="F20" s="252"/>
      <c r="G20" s="252"/>
      <c r="H20" s="252"/>
      <c r="I20" s="252"/>
      <c r="J20" s="252"/>
      <c r="K20" s="252"/>
      <c r="L20" s="252"/>
      <c r="M20" s="252"/>
      <c r="N20" s="252"/>
      <c r="O20" s="252"/>
    </row>
    <row r="21" spans="1:15" ht="20.149999999999999" customHeight="1" x14ac:dyDescent="0.35">
      <c r="A21" s="252"/>
      <c r="B21" s="252"/>
      <c r="C21" s="252"/>
      <c r="D21" s="252"/>
      <c r="E21" s="252"/>
      <c r="F21" s="252"/>
      <c r="G21" s="252"/>
      <c r="H21" s="252"/>
      <c r="I21" s="252"/>
      <c r="J21" s="252"/>
      <c r="K21" s="252"/>
      <c r="L21" s="252"/>
      <c r="M21" s="252"/>
      <c r="N21" s="252"/>
      <c r="O21" s="252"/>
    </row>
    <row r="22" spans="1:15" ht="20.149999999999999" customHeight="1" x14ac:dyDescent="0.35">
      <c r="A22" s="252"/>
      <c r="B22" s="252"/>
      <c r="C22" s="252"/>
      <c r="D22" s="252"/>
      <c r="E22" s="252"/>
      <c r="F22" s="252"/>
      <c r="G22" s="252"/>
      <c r="H22" s="252"/>
      <c r="I22" s="252"/>
      <c r="J22" s="252"/>
      <c r="K22" s="252"/>
      <c r="L22" s="252"/>
      <c r="M22" s="252"/>
      <c r="N22" s="252"/>
      <c r="O22" s="252"/>
    </row>
    <row r="23" spans="1:15" ht="20.149999999999999" customHeight="1" x14ac:dyDescent="0.35">
      <c r="A23" s="252"/>
      <c r="B23" s="252"/>
      <c r="C23" s="252"/>
      <c r="D23" s="252"/>
      <c r="E23" s="252"/>
      <c r="F23" s="252"/>
      <c r="G23" s="252"/>
      <c r="H23" s="252"/>
      <c r="I23" s="252"/>
      <c r="J23" s="252"/>
      <c r="K23" s="252"/>
      <c r="L23" s="252"/>
      <c r="M23" s="252"/>
      <c r="N23" s="252"/>
      <c r="O23" s="252"/>
    </row>
    <row r="24" spans="1:15" ht="20.149999999999999" customHeight="1" x14ac:dyDescent="0.35">
      <c r="A24" s="252"/>
      <c r="B24" s="252"/>
      <c r="C24" s="252"/>
      <c r="D24" s="252"/>
      <c r="E24" s="252"/>
      <c r="F24" s="252"/>
      <c r="G24" s="252"/>
      <c r="H24" s="252"/>
      <c r="I24" s="252"/>
      <c r="J24" s="252"/>
      <c r="K24" s="252"/>
      <c r="L24" s="252"/>
      <c r="M24" s="252"/>
      <c r="N24" s="252"/>
      <c r="O24" s="252"/>
    </row>
    <row r="25" spans="1:15" ht="20.149999999999999" customHeight="1" x14ac:dyDescent="0.35">
      <c r="A25" s="252"/>
      <c r="B25" s="252"/>
      <c r="C25" s="252"/>
      <c r="D25" s="252"/>
      <c r="E25" s="252"/>
      <c r="F25" s="252"/>
      <c r="G25" s="252"/>
      <c r="H25" s="252"/>
      <c r="I25" s="252"/>
      <c r="J25" s="252"/>
      <c r="K25" s="252"/>
      <c r="L25" s="252"/>
      <c r="M25" s="252"/>
      <c r="N25" s="252"/>
      <c r="O25" s="252"/>
    </row>
    <row r="26" spans="1:15" ht="20.149999999999999" customHeight="1" x14ac:dyDescent="0.35">
      <c r="A26" s="252"/>
      <c r="B26" s="252"/>
      <c r="C26" s="252"/>
      <c r="D26" s="252"/>
      <c r="E26" s="252"/>
      <c r="F26" s="252"/>
      <c r="G26" s="252"/>
      <c r="H26" s="252"/>
      <c r="I26" s="252"/>
      <c r="J26" s="252"/>
      <c r="K26" s="252"/>
      <c r="L26" s="252"/>
      <c r="M26" s="252"/>
      <c r="N26" s="252"/>
      <c r="O26" s="252"/>
    </row>
    <row r="27" spans="1:15" ht="20.149999999999999" customHeight="1" x14ac:dyDescent="0.35">
      <c r="A27" s="252"/>
      <c r="B27" s="252"/>
      <c r="C27" s="252"/>
      <c r="D27" s="252"/>
      <c r="E27" s="252"/>
      <c r="F27" s="252"/>
      <c r="G27" s="252"/>
      <c r="H27" s="252"/>
      <c r="I27" s="252"/>
      <c r="J27" s="252"/>
      <c r="K27" s="252"/>
      <c r="L27" s="252"/>
      <c r="M27" s="252"/>
      <c r="N27" s="252"/>
      <c r="O27" s="252"/>
    </row>
    <row r="28" spans="1:15" ht="20.149999999999999" customHeight="1" x14ac:dyDescent="0.35">
      <c r="A28" s="252"/>
      <c r="B28" s="252"/>
      <c r="C28" s="252"/>
      <c r="D28" s="252"/>
      <c r="E28" s="252"/>
      <c r="F28" s="252"/>
      <c r="G28" s="252"/>
      <c r="H28" s="252"/>
      <c r="I28" s="252"/>
      <c r="J28" s="252"/>
      <c r="K28" s="252"/>
      <c r="L28" s="252"/>
      <c r="M28" s="252"/>
      <c r="N28" s="252"/>
      <c r="O28" s="252"/>
    </row>
    <row r="29" spans="1:15" ht="20.149999999999999" customHeight="1" x14ac:dyDescent="0.35">
      <c r="A29" s="252"/>
      <c r="B29" s="252"/>
      <c r="C29" s="252"/>
      <c r="D29" s="252"/>
      <c r="E29" s="252"/>
      <c r="F29" s="252"/>
      <c r="G29" s="252"/>
      <c r="H29" s="252"/>
      <c r="I29" s="252"/>
      <c r="J29" s="252"/>
      <c r="K29" s="252"/>
      <c r="L29" s="252"/>
      <c r="M29" s="252"/>
      <c r="N29" s="252"/>
      <c r="O29" s="252"/>
    </row>
    <row r="30" spans="1:15" ht="20.149999999999999" customHeight="1" x14ac:dyDescent="0.35">
      <c r="A30" s="252"/>
      <c r="B30" s="252"/>
      <c r="C30" s="252"/>
      <c r="D30" s="252"/>
      <c r="E30" s="252"/>
      <c r="F30" s="252"/>
      <c r="G30" s="252"/>
      <c r="H30" s="252"/>
      <c r="I30" s="252"/>
      <c r="J30" s="252"/>
      <c r="K30" s="252"/>
      <c r="L30" s="252"/>
      <c r="M30" s="252"/>
      <c r="N30" s="252"/>
      <c r="O30" s="252"/>
    </row>
    <row r="31" spans="1:15" ht="20.149999999999999" customHeight="1" x14ac:dyDescent="0.35">
      <c r="A31" s="252"/>
      <c r="B31" s="252"/>
      <c r="C31" s="252"/>
      <c r="D31" s="252"/>
      <c r="E31" s="252"/>
      <c r="F31" s="252"/>
      <c r="G31" s="252"/>
      <c r="H31" s="252"/>
      <c r="I31" s="252"/>
      <c r="J31" s="252"/>
      <c r="K31" s="252"/>
      <c r="L31" s="252"/>
      <c r="M31" s="252"/>
      <c r="N31" s="252"/>
      <c r="O31" s="252"/>
    </row>
    <row r="32" spans="1:15" ht="20.149999999999999" customHeight="1" x14ac:dyDescent="0.35">
      <c r="A32" s="252"/>
      <c r="B32" s="252"/>
      <c r="C32" s="252"/>
      <c r="D32" s="252"/>
      <c r="E32" s="252"/>
      <c r="F32" s="252"/>
      <c r="G32" s="252"/>
      <c r="H32" s="252"/>
      <c r="I32" s="252"/>
      <c r="J32" s="252"/>
      <c r="K32" s="252"/>
      <c r="L32" s="252"/>
      <c r="M32" s="252"/>
      <c r="N32" s="252"/>
      <c r="O32" s="252"/>
    </row>
    <row r="33" spans="1:15" ht="20.149999999999999" customHeight="1" x14ac:dyDescent="0.35">
      <c r="A33" s="252"/>
      <c r="B33" s="252"/>
      <c r="C33" s="252"/>
      <c r="D33" s="252"/>
      <c r="E33" s="252"/>
      <c r="F33" s="252"/>
      <c r="G33" s="252"/>
      <c r="H33" s="252"/>
      <c r="I33" s="252"/>
      <c r="J33" s="252"/>
      <c r="K33" s="252"/>
      <c r="L33" s="252"/>
      <c r="M33" s="252"/>
      <c r="N33" s="252"/>
      <c r="O33" s="252"/>
    </row>
    <row r="34" spans="1:15" ht="20.149999999999999" customHeight="1" x14ac:dyDescent="0.35">
      <c r="A34" s="252"/>
      <c r="B34" s="252"/>
      <c r="C34" s="252"/>
      <c r="D34" s="252"/>
      <c r="E34" s="252"/>
      <c r="F34" s="252"/>
      <c r="G34" s="252"/>
      <c r="H34" s="252"/>
      <c r="I34" s="252"/>
      <c r="J34" s="252"/>
      <c r="K34" s="252"/>
      <c r="L34" s="252"/>
      <c r="M34" s="252"/>
      <c r="N34" s="252"/>
      <c r="O34" s="252"/>
    </row>
    <row r="35" spans="1:15" ht="20.149999999999999" customHeight="1" x14ac:dyDescent="0.35">
      <c r="A35" s="252"/>
      <c r="B35" s="252"/>
      <c r="C35" s="252"/>
      <c r="D35" s="252"/>
      <c r="E35" s="252"/>
      <c r="F35" s="252"/>
      <c r="G35" s="252"/>
      <c r="H35" s="252"/>
      <c r="I35" s="252"/>
      <c r="J35" s="252"/>
      <c r="K35" s="252"/>
      <c r="L35" s="252"/>
      <c r="M35" s="252"/>
      <c r="N35" s="252"/>
      <c r="O35" s="252"/>
    </row>
    <row r="36" spans="1:15" ht="20.149999999999999" customHeight="1" x14ac:dyDescent="0.35">
      <c r="A36" s="252"/>
      <c r="B36" s="252"/>
      <c r="C36" s="252"/>
      <c r="D36" s="252"/>
      <c r="E36" s="252"/>
      <c r="F36" s="252"/>
      <c r="G36" s="252"/>
      <c r="H36" s="252"/>
      <c r="I36" s="252"/>
      <c r="J36" s="252"/>
      <c r="K36" s="252"/>
      <c r="L36" s="252"/>
      <c r="M36" s="252"/>
      <c r="N36" s="252"/>
      <c r="O36" s="252"/>
    </row>
    <row r="37" spans="1:15" ht="20.149999999999999" customHeight="1" x14ac:dyDescent="0.35">
      <c r="A37" s="252"/>
      <c r="B37" s="252"/>
      <c r="C37" s="252"/>
      <c r="D37" s="252"/>
      <c r="E37" s="252"/>
      <c r="F37" s="252"/>
      <c r="G37" s="252"/>
      <c r="H37" s="252"/>
      <c r="I37" s="252"/>
      <c r="J37" s="252"/>
      <c r="K37" s="252"/>
      <c r="L37" s="252"/>
      <c r="M37" s="252"/>
      <c r="N37" s="252"/>
      <c r="O37" s="252"/>
    </row>
    <row r="38" spans="1:15" ht="20.149999999999999" customHeight="1" x14ac:dyDescent="0.35">
      <c r="A38" s="252"/>
      <c r="B38" s="252"/>
      <c r="C38" s="252"/>
      <c r="D38" s="252"/>
      <c r="E38" s="252"/>
      <c r="F38" s="252"/>
      <c r="G38" s="252"/>
      <c r="H38" s="252"/>
      <c r="I38" s="252"/>
      <c r="J38" s="252"/>
      <c r="K38" s="252"/>
      <c r="L38" s="252"/>
      <c r="M38" s="252"/>
      <c r="N38" s="252"/>
      <c r="O38" s="252"/>
    </row>
    <row r="39" spans="1:15" ht="20.149999999999999" customHeight="1" x14ac:dyDescent="0.35">
      <c r="A39" s="252"/>
      <c r="B39" s="252"/>
      <c r="C39" s="252"/>
      <c r="D39" s="252"/>
      <c r="E39" s="252"/>
      <c r="F39" s="252"/>
      <c r="G39" s="252"/>
      <c r="H39" s="252"/>
      <c r="I39" s="252"/>
      <c r="J39" s="252"/>
      <c r="K39" s="252"/>
      <c r="L39" s="252"/>
      <c r="M39" s="252"/>
      <c r="N39" s="252"/>
      <c r="O39" s="252"/>
    </row>
    <row r="40" spans="1:15" ht="20.149999999999999" customHeight="1" x14ac:dyDescent="0.35">
      <c r="A40" s="252"/>
      <c r="B40" s="252"/>
      <c r="C40" s="252"/>
      <c r="D40" s="252"/>
      <c r="E40" s="252"/>
      <c r="F40" s="252"/>
      <c r="G40" s="252"/>
      <c r="H40" s="252"/>
      <c r="I40" s="252"/>
      <c r="J40" s="252"/>
      <c r="K40" s="252"/>
      <c r="L40" s="252"/>
      <c r="M40" s="252"/>
      <c r="N40" s="252"/>
      <c r="O40" s="252"/>
    </row>
    <row r="41" spans="1:15" ht="20.149999999999999" customHeight="1" x14ac:dyDescent="0.35">
      <c r="A41" s="252"/>
      <c r="B41" s="252"/>
      <c r="C41" s="252"/>
      <c r="D41" s="252"/>
      <c r="E41" s="252"/>
      <c r="F41" s="252"/>
      <c r="G41" s="252"/>
      <c r="H41" s="252"/>
      <c r="I41" s="252"/>
      <c r="J41" s="252"/>
      <c r="K41" s="252"/>
      <c r="L41" s="252"/>
      <c r="M41" s="252"/>
      <c r="N41" s="252"/>
      <c r="O41" s="252"/>
    </row>
    <row r="42" spans="1:15" ht="20.149999999999999" customHeight="1" x14ac:dyDescent="0.35">
      <c r="A42" s="252"/>
      <c r="B42" s="252"/>
      <c r="C42" s="252"/>
      <c r="D42" s="252"/>
      <c r="E42" s="252"/>
      <c r="F42" s="252"/>
      <c r="G42" s="252"/>
      <c r="H42" s="252"/>
      <c r="I42" s="252"/>
      <c r="J42" s="252"/>
      <c r="K42" s="252"/>
      <c r="L42" s="252"/>
      <c r="M42" s="252"/>
      <c r="N42" s="252"/>
      <c r="O42" s="252"/>
    </row>
    <row r="43" spans="1:15" ht="20.149999999999999" customHeight="1" x14ac:dyDescent="0.35">
      <c r="A43" s="252"/>
      <c r="B43" s="252"/>
      <c r="C43" s="252"/>
      <c r="D43" s="252"/>
      <c r="E43" s="252"/>
      <c r="F43" s="252"/>
      <c r="G43" s="252"/>
      <c r="H43" s="252"/>
      <c r="I43" s="252"/>
      <c r="J43" s="252"/>
      <c r="K43" s="252"/>
      <c r="L43" s="252"/>
      <c r="M43" s="252"/>
      <c r="N43" s="252"/>
      <c r="O43" s="252"/>
    </row>
    <row r="44" spans="1:15" ht="20.149999999999999" customHeight="1" x14ac:dyDescent="0.35">
      <c r="A44" s="252"/>
      <c r="B44" s="252"/>
      <c r="C44" s="252"/>
      <c r="D44" s="252"/>
      <c r="E44" s="252"/>
      <c r="F44" s="252"/>
      <c r="G44" s="252"/>
      <c r="H44" s="252"/>
      <c r="I44" s="252"/>
      <c r="J44" s="252"/>
      <c r="K44" s="252"/>
      <c r="L44" s="252"/>
      <c r="M44" s="252"/>
      <c r="N44" s="252"/>
      <c r="O44" s="252"/>
    </row>
    <row r="45" spans="1:15" ht="20.149999999999999" customHeight="1" x14ac:dyDescent="0.35">
      <c r="A45" s="252"/>
      <c r="B45" s="252"/>
      <c r="C45" s="252"/>
      <c r="D45" s="252"/>
      <c r="E45" s="252"/>
      <c r="F45" s="252"/>
      <c r="G45" s="252"/>
      <c r="H45" s="252"/>
      <c r="I45" s="252"/>
      <c r="J45" s="252"/>
      <c r="K45" s="252"/>
      <c r="L45" s="252"/>
      <c r="M45" s="252"/>
      <c r="N45" s="252"/>
      <c r="O45" s="252"/>
    </row>
    <row r="46" spans="1:15" ht="20.149999999999999" customHeight="1" x14ac:dyDescent="0.35">
      <c r="A46" s="252"/>
      <c r="B46" s="252"/>
      <c r="C46" s="252"/>
      <c r="D46" s="252"/>
      <c r="E46" s="252"/>
      <c r="F46" s="252"/>
      <c r="G46" s="252"/>
      <c r="H46" s="252"/>
      <c r="I46" s="252"/>
      <c r="J46" s="252"/>
      <c r="K46" s="252"/>
      <c r="L46" s="252"/>
      <c r="M46" s="252"/>
      <c r="N46" s="252"/>
      <c r="O46" s="252"/>
    </row>
    <row r="47" spans="1:15" ht="20.149999999999999" customHeight="1" x14ac:dyDescent="0.35">
      <c r="A47" s="252"/>
      <c r="B47" s="252"/>
      <c r="C47" s="252"/>
      <c r="D47" s="252"/>
      <c r="E47" s="252"/>
      <c r="F47" s="252"/>
      <c r="G47" s="252"/>
      <c r="H47" s="252"/>
      <c r="I47" s="252"/>
      <c r="J47" s="252"/>
      <c r="K47" s="252"/>
      <c r="L47" s="252"/>
      <c r="M47" s="252"/>
      <c r="N47" s="252"/>
      <c r="O47" s="252"/>
    </row>
    <row r="48" spans="1:15" ht="20.149999999999999" customHeight="1" x14ac:dyDescent="0.35">
      <c r="A48" s="252"/>
      <c r="B48" s="252"/>
      <c r="C48" s="252"/>
      <c r="D48" s="252"/>
      <c r="E48" s="252"/>
      <c r="F48" s="252"/>
      <c r="G48" s="252"/>
      <c r="H48" s="252"/>
      <c r="I48" s="252"/>
      <c r="J48" s="252"/>
      <c r="K48" s="252"/>
      <c r="L48" s="252"/>
      <c r="M48" s="252"/>
      <c r="N48" s="252"/>
      <c r="O48" s="252"/>
    </row>
    <row r="49" spans="1:15" ht="20.149999999999999" customHeight="1" x14ac:dyDescent="0.35">
      <c r="A49" s="252"/>
      <c r="B49" s="252"/>
      <c r="C49" s="252"/>
      <c r="D49" s="252"/>
      <c r="E49" s="252"/>
      <c r="F49" s="252"/>
      <c r="G49" s="252"/>
      <c r="H49" s="252"/>
      <c r="I49" s="252"/>
      <c r="J49" s="252"/>
      <c r="K49" s="252"/>
      <c r="L49" s="252"/>
      <c r="M49" s="252"/>
      <c r="N49" s="252"/>
      <c r="O49" s="252"/>
    </row>
    <row r="50" spans="1:15" ht="20.149999999999999" customHeight="1" x14ac:dyDescent="0.35">
      <c r="A50" s="252"/>
      <c r="B50" s="252"/>
      <c r="C50" s="252"/>
      <c r="D50" s="252"/>
      <c r="E50" s="252"/>
      <c r="F50" s="252"/>
      <c r="G50" s="252"/>
      <c r="H50" s="252"/>
      <c r="I50" s="252"/>
      <c r="J50" s="252"/>
      <c r="K50" s="252"/>
      <c r="L50" s="252"/>
      <c r="M50" s="252"/>
      <c r="N50" s="252"/>
      <c r="O50" s="252"/>
    </row>
  </sheetData>
  <mergeCells count="2">
    <mergeCell ref="A1:O1"/>
    <mergeCell ref="A2:O2"/>
  </mergeCells>
  <dataValidations count="5">
    <dataValidation type="list" allowBlank="1" showInputMessage="1" showErrorMessage="1" sqref="F4:F50" xr:uid="{E13CDB20-9905-4D6D-85EF-16F3C439F999}">
      <formula1>"Ativa,Inativa"</formula1>
    </dataValidation>
    <dataValidation type="list" allowBlank="1" showInputMessage="1" showErrorMessage="1" sqref="H4:M50" xr:uid="{5AF9BA86-135A-45E3-B464-529B925260F1}">
      <formula1>"Sim,Não"</formula1>
    </dataValidation>
    <dataValidation type="list" allowBlank="1" showInputMessage="1" showErrorMessage="1" sqref="N4:N13" xr:uid="{88EED900-2194-4CEC-ADC8-124D34850B63}">
      <formula1>"Lucro Real,Lucro Presumido,Lucro Arbitrado,Simples Nacional"</formula1>
    </dataValidation>
    <dataValidation type="list" allowBlank="1" showInputMessage="1" showErrorMessage="1" sqref="D4 D12:D13" xr:uid="{0A6B5EA5-3536-4A9C-9FFE-56E6B069D9B7}">
      <formula1>"AC,AL,AP,AM,BA,CE,DF,ES,GO,MA,MT,MS,MG,PA,PB,PR,PE,PI,RJ,RN,RS,RO,RR,SC,SP,SE,TO"</formula1>
    </dataValidation>
    <dataValidation type="list" allowBlank="1" showInputMessage="1" showErrorMessage="1" sqref="C4:C50" xr:uid="{A2E6A7C9-DFEC-4D36-A162-F605A5838550}">
      <formula1>"Matriz,Filial"</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5D51-FED1-44F2-AB07-BC2F4856013A}">
  <dimension ref="A1:C30"/>
  <sheetViews>
    <sheetView zoomScale="80" zoomScaleNormal="80" workbookViewId="0">
      <selection activeCell="A5" sqref="A5"/>
    </sheetView>
  </sheetViews>
  <sheetFormatPr defaultColWidth="9.453125" defaultRowHeight="14.5" x14ac:dyDescent="0.35"/>
  <cols>
    <col min="1" max="1" width="121.453125" style="216" customWidth="1"/>
    <col min="2" max="2" width="30.54296875" style="216" customWidth="1"/>
    <col min="3" max="3" width="28.08984375" style="216" customWidth="1"/>
    <col min="4" max="16384" width="9.453125" style="216"/>
  </cols>
  <sheetData>
    <row r="1" spans="1:3" s="78" customFormat="1" ht="80.150000000000006" customHeight="1" x14ac:dyDescent="0.35">
      <c r="A1" s="271" t="s">
        <v>36</v>
      </c>
      <c r="B1" s="271"/>
      <c r="C1" s="271"/>
    </row>
    <row r="2" spans="1:3" s="78" customFormat="1" ht="20.149999999999999" customHeight="1" x14ac:dyDescent="0.35">
      <c r="A2" s="272" t="s">
        <v>118</v>
      </c>
      <c r="B2" s="272"/>
      <c r="C2" s="272"/>
    </row>
    <row r="3" spans="1:3" ht="20.149999999999999" customHeight="1" x14ac:dyDescent="0.35">
      <c r="A3" s="253" t="s">
        <v>119</v>
      </c>
      <c r="B3" s="253" t="s">
        <v>120</v>
      </c>
      <c r="C3" s="253" t="s">
        <v>121</v>
      </c>
    </row>
    <row r="4" spans="1:3" ht="20.149999999999999" customHeight="1" x14ac:dyDescent="0.35">
      <c r="A4" s="255" t="s">
        <v>122</v>
      </c>
      <c r="B4" s="258">
        <v>61418</v>
      </c>
      <c r="C4" s="258">
        <v>1.147</v>
      </c>
    </row>
    <row r="5" spans="1:3" ht="20.149999999999999" customHeight="1" x14ac:dyDescent="0.35">
      <c r="A5" s="255" t="s">
        <v>123</v>
      </c>
      <c r="B5" s="258">
        <v>0</v>
      </c>
      <c r="C5" s="258">
        <v>0</v>
      </c>
    </row>
    <row r="6" spans="1:3" ht="20.149999999999999" customHeight="1" x14ac:dyDescent="0.35">
      <c r="A6" s="255" t="s">
        <v>124</v>
      </c>
      <c r="B6" s="258">
        <v>0</v>
      </c>
      <c r="C6" s="258">
        <v>0</v>
      </c>
    </row>
    <row r="7" spans="1:3" ht="20.149999999999999" customHeight="1" x14ac:dyDescent="0.35">
      <c r="A7" s="255" t="s">
        <v>125</v>
      </c>
      <c r="B7" s="258">
        <v>0</v>
      </c>
      <c r="C7" s="258">
        <v>0</v>
      </c>
    </row>
    <row r="8" spans="1:3" ht="20.149999999999999" customHeight="1" x14ac:dyDescent="0.35">
      <c r="A8" s="255" t="s">
        <v>126</v>
      </c>
      <c r="B8" s="258">
        <v>0</v>
      </c>
      <c r="C8" s="258">
        <v>0</v>
      </c>
    </row>
    <row r="9" spans="1:3" ht="20.149999999999999" customHeight="1" x14ac:dyDescent="0.35">
      <c r="A9" s="255" t="s">
        <v>127</v>
      </c>
      <c r="B9" s="258">
        <v>0</v>
      </c>
      <c r="C9" s="258">
        <v>0</v>
      </c>
    </row>
    <row r="10" spans="1:3" ht="20.149999999999999" customHeight="1" x14ac:dyDescent="0.35">
      <c r="A10" s="255" t="s">
        <v>128</v>
      </c>
      <c r="B10" s="258">
        <v>0</v>
      </c>
      <c r="C10" s="258">
        <v>0</v>
      </c>
    </row>
    <row r="11" spans="1:3" ht="20.149999999999999" customHeight="1" x14ac:dyDescent="0.35">
      <c r="A11" s="255" t="s">
        <v>129</v>
      </c>
      <c r="B11" s="258">
        <v>0</v>
      </c>
      <c r="C11" s="258">
        <v>0</v>
      </c>
    </row>
    <row r="12" spans="1:3" ht="20.149999999999999" customHeight="1" x14ac:dyDescent="0.35">
      <c r="A12" s="253" t="s">
        <v>130</v>
      </c>
      <c r="B12" s="253" t="s">
        <v>120</v>
      </c>
      <c r="C12" s="253" t="s">
        <v>121</v>
      </c>
    </row>
    <row r="13" spans="1:3" ht="20.149999999999999" customHeight="1" x14ac:dyDescent="0.35">
      <c r="A13" s="255" t="s">
        <v>122</v>
      </c>
      <c r="B13" s="258">
        <v>49778</v>
      </c>
      <c r="C13" s="258">
        <v>1.3</v>
      </c>
    </row>
    <row r="14" spans="1:3" ht="20.149999999999999" customHeight="1" x14ac:dyDescent="0.35">
      <c r="A14" s="255" t="s">
        <v>123</v>
      </c>
      <c r="B14" s="258">
        <v>51005</v>
      </c>
      <c r="C14" s="258">
        <v>1.3</v>
      </c>
    </row>
    <row r="15" spans="1:3" ht="20.149999999999999" customHeight="1" x14ac:dyDescent="0.35">
      <c r="A15" s="255" t="s">
        <v>124</v>
      </c>
      <c r="B15" s="258">
        <v>433</v>
      </c>
      <c r="C15" s="258">
        <v>1.3</v>
      </c>
    </row>
    <row r="16" spans="1:3" ht="20.149999999999999" customHeight="1" x14ac:dyDescent="0.35">
      <c r="A16" s="255" t="s">
        <v>125</v>
      </c>
      <c r="B16" s="258">
        <v>0</v>
      </c>
      <c r="C16" s="258">
        <v>0</v>
      </c>
    </row>
    <row r="17" spans="1:3" ht="20.149999999999999" customHeight="1" x14ac:dyDescent="0.35">
      <c r="A17" s="255" t="s">
        <v>126</v>
      </c>
      <c r="B17" s="258">
        <v>20371</v>
      </c>
      <c r="C17" s="258">
        <v>1.3</v>
      </c>
    </row>
    <row r="18" spans="1:3" ht="15.5" x14ac:dyDescent="0.35">
      <c r="A18" s="255" t="s">
        <v>127</v>
      </c>
      <c r="B18" s="258">
        <v>0</v>
      </c>
      <c r="C18" s="258">
        <v>0</v>
      </c>
    </row>
    <row r="19" spans="1:3" ht="15.5" x14ac:dyDescent="0.35">
      <c r="A19" s="255" t="s">
        <v>128</v>
      </c>
      <c r="B19" s="258">
        <v>0</v>
      </c>
      <c r="C19" s="258">
        <v>0</v>
      </c>
    </row>
    <row r="20" spans="1:3" ht="15.5" x14ac:dyDescent="0.35">
      <c r="A20" s="255" t="s">
        <v>129</v>
      </c>
      <c r="B20" s="258">
        <v>0</v>
      </c>
      <c r="C20" s="258">
        <v>0</v>
      </c>
    </row>
    <row r="21" spans="1:3" ht="15.5" x14ac:dyDescent="0.35">
      <c r="A21" s="255" t="s">
        <v>983</v>
      </c>
      <c r="B21" s="258">
        <v>50</v>
      </c>
      <c r="C21" s="258">
        <v>1</v>
      </c>
    </row>
    <row r="22" spans="1:3" ht="15.5" x14ac:dyDescent="0.35">
      <c r="A22" s="255" t="s">
        <v>982</v>
      </c>
      <c r="B22" s="258">
        <v>24</v>
      </c>
      <c r="C22" s="258">
        <v>1</v>
      </c>
    </row>
    <row r="23" spans="1:3" ht="15.5" x14ac:dyDescent="0.35">
      <c r="A23" s="255" t="s">
        <v>984</v>
      </c>
      <c r="B23" s="258">
        <v>108</v>
      </c>
      <c r="C23" s="258">
        <v>1</v>
      </c>
    </row>
    <row r="24" spans="1:3" ht="23.5" x14ac:dyDescent="0.35">
      <c r="A24" s="272" t="s">
        <v>131</v>
      </c>
      <c r="B24" s="272"/>
      <c r="C24" s="272"/>
    </row>
    <row r="25" spans="1:3" ht="15.5" x14ac:dyDescent="0.35">
      <c r="A25" s="253" t="s">
        <v>132</v>
      </c>
      <c r="B25" s="260" t="s">
        <v>133</v>
      </c>
      <c r="C25" s="260" t="s">
        <v>134</v>
      </c>
    </row>
    <row r="26" spans="1:3" ht="15.5" x14ac:dyDescent="0.35">
      <c r="A26" s="255" t="s">
        <v>135</v>
      </c>
      <c r="B26" s="261">
        <v>6779</v>
      </c>
      <c r="C26" s="259">
        <v>7803</v>
      </c>
    </row>
    <row r="27" spans="1:3" ht="15.5" x14ac:dyDescent="0.35">
      <c r="A27" s="255" t="s">
        <v>136</v>
      </c>
      <c r="B27" s="259">
        <v>5</v>
      </c>
      <c r="C27" s="259">
        <v>5</v>
      </c>
    </row>
    <row r="28" spans="1:3" ht="15.5" x14ac:dyDescent="0.35">
      <c r="A28" s="255"/>
      <c r="B28" s="259"/>
      <c r="C28" s="259"/>
    </row>
    <row r="29" spans="1:3" ht="15.5" x14ac:dyDescent="0.35">
      <c r="A29" s="255"/>
      <c r="B29" s="259"/>
      <c r="C29" s="259"/>
    </row>
    <row r="30" spans="1:3" ht="15.5" x14ac:dyDescent="0.35">
      <c r="A30" s="255"/>
      <c r="B30" s="262"/>
      <c r="C30" s="262"/>
    </row>
  </sheetData>
  <mergeCells count="3">
    <mergeCell ref="A1:C1"/>
    <mergeCell ref="A2:C2"/>
    <mergeCell ref="A24:C24"/>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B75A-EB93-4414-AC94-885325E5EDA5}">
  <dimension ref="A1:D164"/>
  <sheetViews>
    <sheetView zoomScale="80" zoomScaleNormal="80" workbookViewId="0">
      <selection sqref="A1:D1"/>
    </sheetView>
  </sheetViews>
  <sheetFormatPr defaultColWidth="9.453125" defaultRowHeight="14.5" x14ac:dyDescent="0.35"/>
  <cols>
    <col min="1" max="1" width="27.36328125" style="216" customWidth="1"/>
    <col min="2" max="2" width="124.08984375" style="216" bestFit="1" customWidth="1"/>
    <col min="3" max="3" width="40.453125" style="216" bestFit="1" customWidth="1"/>
    <col min="4" max="4" width="114.54296875" style="216" bestFit="1" customWidth="1"/>
    <col min="5" max="16384" width="9.453125" style="216"/>
  </cols>
  <sheetData>
    <row r="1" spans="1:4" s="78" customFormat="1" ht="80.150000000000006" customHeight="1" x14ac:dyDescent="0.35">
      <c r="A1" s="271" t="s">
        <v>36</v>
      </c>
      <c r="B1" s="271"/>
      <c r="C1" s="271"/>
      <c r="D1" s="271"/>
    </row>
    <row r="2" spans="1:4" s="78" customFormat="1" ht="20.149999999999999" customHeight="1" x14ac:dyDescent="0.35">
      <c r="A2" s="272" t="s">
        <v>137</v>
      </c>
      <c r="B2" s="272"/>
      <c r="C2" s="272"/>
      <c r="D2" s="272"/>
    </row>
    <row r="3" spans="1:4" ht="20.149999999999999" customHeight="1" x14ac:dyDescent="0.35">
      <c r="A3" s="253" t="s">
        <v>138</v>
      </c>
      <c r="B3" s="253" t="s">
        <v>139</v>
      </c>
      <c r="C3" s="253" t="s">
        <v>140</v>
      </c>
      <c r="D3" s="253" t="s">
        <v>141</v>
      </c>
    </row>
    <row r="4" spans="1:4" ht="20.149999999999999" customHeight="1" x14ac:dyDescent="0.35">
      <c r="A4" s="252" t="s">
        <v>1226</v>
      </c>
      <c r="B4" s="252" t="s">
        <v>1322</v>
      </c>
      <c r="C4" s="252" t="s">
        <v>1407</v>
      </c>
      <c r="D4" s="252" t="s">
        <v>1408</v>
      </c>
    </row>
    <row r="5" spans="1:4" ht="20.149999999999999" customHeight="1" x14ac:dyDescent="0.35">
      <c r="A5" s="252" t="s">
        <v>1226</v>
      </c>
      <c r="B5" s="252" t="s">
        <v>1336</v>
      </c>
      <c r="C5" s="257" t="s">
        <v>1407</v>
      </c>
      <c r="D5" s="252" t="s">
        <v>1409</v>
      </c>
    </row>
    <row r="6" spans="1:4" ht="20.149999999999999" customHeight="1" x14ac:dyDescent="0.35">
      <c r="A6" s="252" t="s">
        <v>1226</v>
      </c>
      <c r="B6" s="252" t="s">
        <v>1342</v>
      </c>
      <c r="C6" s="257" t="s">
        <v>1407</v>
      </c>
      <c r="D6" s="252" t="s">
        <v>1410</v>
      </c>
    </row>
    <row r="7" spans="1:4" ht="20.149999999999999" customHeight="1" x14ac:dyDescent="0.35">
      <c r="A7" s="252" t="s">
        <v>1226</v>
      </c>
      <c r="B7" s="252" t="s">
        <v>1361</v>
      </c>
      <c r="C7" s="252" t="s">
        <v>1407</v>
      </c>
      <c r="D7" s="252" t="s">
        <v>1411</v>
      </c>
    </row>
    <row r="8" spans="1:4" ht="20.149999999999999" customHeight="1" x14ac:dyDescent="0.35">
      <c r="A8" s="252" t="s">
        <v>1226</v>
      </c>
      <c r="B8" s="252" t="s">
        <v>1389</v>
      </c>
      <c r="C8" s="252" t="s">
        <v>1407</v>
      </c>
      <c r="D8" s="252" t="s">
        <v>1412</v>
      </c>
    </row>
    <row r="9" spans="1:4" ht="20.149999999999999" customHeight="1" x14ac:dyDescent="0.35">
      <c r="A9" s="252" t="s">
        <v>1226</v>
      </c>
      <c r="B9" s="252" t="s">
        <v>1398</v>
      </c>
      <c r="C9" s="252" t="s">
        <v>1413</v>
      </c>
      <c r="D9" s="252" t="s">
        <v>1414</v>
      </c>
    </row>
    <row r="10" spans="1:4" ht="20.149999999999999" customHeight="1" x14ac:dyDescent="0.35">
      <c r="A10" s="252" t="s">
        <v>1227</v>
      </c>
      <c r="B10" s="252" t="s">
        <v>1345</v>
      </c>
      <c r="C10" s="252" t="s">
        <v>1413</v>
      </c>
      <c r="D10" s="252" t="s">
        <v>1415</v>
      </c>
    </row>
    <row r="11" spans="1:4" ht="20.149999999999999" customHeight="1" x14ac:dyDescent="0.35">
      <c r="A11" s="252" t="s">
        <v>1227</v>
      </c>
      <c r="B11" s="252" t="s">
        <v>1327</v>
      </c>
      <c r="C11" s="252" t="s">
        <v>1413</v>
      </c>
      <c r="D11" s="252" t="s">
        <v>1416</v>
      </c>
    </row>
    <row r="12" spans="1:4" ht="20.149999999999999" customHeight="1" x14ac:dyDescent="0.35">
      <c r="A12" s="257" t="s">
        <v>1228</v>
      </c>
      <c r="B12" s="252" t="s">
        <v>1312</v>
      </c>
      <c r="C12" s="252" t="s">
        <v>1413</v>
      </c>
      <c r="D12" s="252" t="s">
        <v>1417</v>
      </c>
    </row>
    <row r="13" spans="1:4" ht="20.149999999999999" customHeight="1" x14ac:dyDescent="0.35">
      <c r="A13" s="252" t="s">
        <v>1229</v>
      </c>
      <c r="B13" s="252" t="s">
        <v>1312</v>
      </c>
      <c r="C13" s="252" t="s">
        <v>1413</v>
      </c>
      <c r="D13" s="252" t="s">
        <v>1418</v>
      </c>
    </row>
    <row r="14" spans="1:4" ht="20.149999999999999" customHeight="1" x14ac:dyDescent="0.35">
      <c r="A14" s="257" t="s">
        <v>1230</v>
      </c>
      <c r="B14" s="252" t="s">
        <v>1368</v>
      </c>
      <c r="C14" s="257" t="s">
        <v>1413</v>
      </c>
      <c r="D14" s="252" t="s">
        <v>1419</v>
      </c>
    </row>
    <row r="15" spans="1:4" ht="20.149999999999999" customHeight="1" x14ac:dyDescent="0.35">
      <c r="A15" s="257" t="s">
        <v>1231</v>
      </c>
      <c r="B15" s="252" t="s">
        <v>1348</v>
      </c>
      <c r="C15" s="257" t="s">
        <v>1413</v>
      </c>
      <c r="D15" s="252" t="s">
        <v>1420</v>
      </c>
    </row>
    <row r="16" spans="1:4" ht="20.149999999999999" customHeight="1" x14ac:dyDescent="0.35">
      <c r="A16" s="252" t="s">
        <v>1231</v>
      </c>
      <c r="B16" s="252" t="s">
        <v>1357</v>
      </c>
      <c r="C16" s="252" t="s">
        <v>1421</v>
      </c>
      <c r="D16" s="252" t="s">
        <v>1422</v>
      </c>
    </row>
    <row r="17" spans="1:4" ht="20.149999999999999" customHeight="1" x14ac:dyDescent="0.35">
      <c r="A17" s="252" t="s">
        <v>1232</v>
      </c>
      <c r="B17" s="252" t="s">
        <v>1311</v>
      </c>
      <c r="C17" s="252" t="s">
        <v>1421</v>
      </c>
      <c r="D17" s="252" t="s">
        <v>1423</v>
      </c>
    </row>
    <row r="18" spans="1:4" ht="20.149999999999999" customHeight="1" x14ac:dyDescent="0.35">
      <c r="A18" s="252" t="s">
        <v>1232</v>
      </c>
      <c r="B18" s="252" t="s">
        <v>1326</v>
      </c>
      <c r="C18" s="252" t="s">
        <v>1424</v>
      </c>
      <c r="D18" s="252" t="s">
        <v>1425</v>
      </c>
    </row>
    <row r="19" spans="1:4" ht="20.149999999999999" customHeight="1" x14ac:dyDescent="0.35">
      <c r="A19" s="252" t="s">
        <v>1233</v>
      </c>
      <c r="B19" s="252" t="s">
        <v>1327</v>
      </c>
      <c r="C19" s="257" t="s">
        <v>1426</v>
      </c>
      <c r="D19" s="252" t="s">
        <v>1427</v>
      </c>
    </row>
    <row r="20" spans="1:4" ht="20.149999999999999" customHeight="1" x14ac:dyDescent="0.35">
      <c r="A20" s="257" t="s">
        <v>1234</v>
      </c>
      <c r="B20" s="252" t="s">
        <v>1334</v>
      </c>
      <c r="C20" s="257" t="s">
        <v>1428</v>
      </c>
      <c r="D20" s="252" t="s">
        <v>1429</v>
      </c>
    </row>
    <row r="21" spans="1:4" ht="20.149999999999999" customHeight="1" x14ac:dyDescent="0.35">
      <c r="A21" s="257" t="s">
        <v>1234</v>
      </c>
      <c r="B21" s="252" t="s">
        <v>1359</v>
      </c>
      <c r="C21" s="257" t="s">
        <v>1430</v>
      </c>
      <c r="D21" s="252" t="s">
        <v>1431</v>
      </c>
    </row>
    <row r="22" spans="1:4" ht="20.149999999999999" customHeight="1" x14ac:dyDescent="0.35">
      <c r="A22" s="257" t="s">
        <v>1234</v>
      </c>
      <c r="B22" s="252" t="s">
        <v>1395</v>
      </c>
      <c r="C22" s="252" t="s">
        <v>1432</v>
      </c>
      <c r="D22" s="252" t="s">
        <v>1433</v>
      </c>
    </row>
    <row r="23" spans="1:4" ht="20.149999999999999" customHeight="1" x14ac:dyDescent="0.35">
      <c r="A23" s="252" t="s">
        <v>1234</v>
      </c>
      <c r="B23" s="252" t="s">
        <v>1353</v>
      </c>
      <c r="C23" s="252" t="s">
        <v>1434</v>
      </c>
      <c r="D23" s="252" t="s">
        <v>1435</v>
      </c>
    </row>
    <row r="24" spans="1:4" ht="20.149999999999999" customHeight="1" x14ac:dyDescent="0.35">
      <c r="A24" s="252" t="s">
        <v>1235</v>
      </c>
      <c r="B24" s="252" t="s">
        <v>1330</v>
      </c>
      <c r="C24" s="252" t="s">
        <v>1436</v>
      </c>
      <c r="D24" s="252" t="s">
        <v>1437</v>
      </c>
    </row>
    <row r="25" spans="1:4" ht="20.149999999999999" customHeight="1" x14ac:dyDescent="0.35">
      <c r="A25" s="252" t="s">
        <v>1235</v>
      </c>
      <c r="B25" s="252" t="s">
        <v>1371</v>
      </c>
      <c r="C25" s="252" t="s">
        <v>1436</v>
      </c>
      <c r="D25" s="252" t="s">
        <v>1438</v>
      </c>
    </row>
    <row r="26" spans="1:4" ht="20.149999999999999" customHeight="1" x14ac:dyDescent="0.35">
      <c r="A26" s="252" t="s">
        <v>1235</v>
      </c>
      <c r="B26" s="252" t="s">
        <v>1375</v>
      </c>
      <c r="C26" s="252" t="s">
        <v>1439</v>
      </c>
      <c r="D26" s="252" t="s">
        <v>1440</v>
      </c>
    </row>
    <row r="27" spans="1:4" ht="20.149999999999999" customHeight="1" x14ac:dyDescent="0.35">
      <c r="A27" s="252" t="s">
        <v>1236</v>
      </c>
      <c r="B27" s="252" t="s">
        <v>1341</v>
      </c>
      <c r="C27" s="252" t="s">
        <v>1441</v>
      </c>
      <c r="D27" s="252" t="s">
        <v>1442</v>
      </c>
    </row>
    <row r="28" spans="1:4" ht="20.149999999999999" customHeight="1" x14ac:dyDescent="0.35">
      <c r="A28" s="252" t="s">
        <v>1236</v>
      </c>
      <c r="B28" s="252" t="s">
        <v>1313</v>
      </c>
      <c r="C28" s="252" t="s">
        <v>1443</v>
      </c>
      <c r="D28" s="252" t="s">
        <v>1444</v>
      </c>
    </row>
    <row r="29" spans="1:4" ht="20.149999999999999" customHeight="1" x14ac:dyDescent="0.35">
      <c r="A29" s="252" t="s">
        <v>1237</v>
      </c>
      <c r="B29" s="252" t="s">
        <v>1370</v>
      </c>
      <c r="C29" s="252" t="s">
        <v>1445</v>
      </c>
      <c r="D29" s="252" t="s">
        <v>1446</v>
      </c>
    </row>
    <row r="30" spans="1:4" ht="20.149999999999999" customHeight="1" x14ac:dyDescent="0.35">
      <c r="A30" s="252" t="s">
        <v>1238</v>
      </c>
      <c r="B30" s="252" t="s">
        <v>1317</v>
      </c>
      <c r="C30" s="252" t="s">
        <v>1447</v>
      </c>
      <c r="D30" s="252" t="s">
        <v>1448</v>
      </c>
    </row>
    <row r="31" spans="1:4" ht="20.149999999999999" customHeight="1" x14ac:dyDescent="0.35">
      <c r="A31" s="252" t="s">
        <v>1238</v>
      </c>
      <c r="B31" s="252" t="s">
        <v>1315</v>
      </c>
      <c r="C31" s="252" t="s">
        <v>1449</v>
      </c>
      <c r="D31" s="252" t="s">
        <v>1450</v>
      </c>
    </row>
    <row r="32" spans="1:4" ht="20.149999999999999" customHeight="1" x14ac:dyDescent="0.35">
      <c r="A32" s="252" t="s">
        <v>1238</v>
      </c>
      <c r="B32" s="252" t="s">
        <v>1339</v>
      </c>
      <c r="C32" s="252" t="s">
        <v>1451</v>
      </c>
      <c r="D32" s="252" t="s">
        <v>1452</v>
      </c>
    </row>
    <row r="33" spans="1:4" ht="20.149999999999999" customHeight="1" x14ac:dyDescent="0.35">
      <c r="A33" s="252" t="s">
        <v>1238</v>
      </c>
      <c r="B33" s="252" t="s">
        <v>1340</v>
      </c>
      <c r="C33" s="252" t="s">
        <v>1453</v>
      </c>
      <c r="D33" s="252" t="s">
        <v>1454</v>
      </c>
    </row>
    <row r="34" spans="1:4" ht="20.149999999999999" customHeight="1" x14ac:dyDescent="0.35">
      <c r="A34" s="252" t="s">
        <v>1238</v>
      </c>
      <c r="B34" s="252" t="s">
        <v>1344</v>
      </c>
      <c r="C34" s="252" t="s">
        <v>1455</v>
      </c>
      <c r="D34" s="252" t="s">
        <v>1456</v>
      </c>
    </row>
    <row r="35" spans="1:4" ht="20.149999999999999" customHeight="1" x14ac:dyDescent="0.35">
      <c r="A35" s="252" t="s">
        <v>1238</v>
      </c>
      <c r="B35" s="252" t="s">
        <v>1377</v>
      </c>
      <c r="C35" s="252" t="s">
        <v>1457</v>
      </c>
      <c r="D35" s="252" t="s">
        <v>1458</v>
      </c>
    </row>
    <row r="36" spans="1:4" ht="20.149999999999999" customHeight="1" x14ac:dyDescent="0.35">
      <c r="A36" s="252" t="s">
        <v>1239</v>
      </c>
      <c r="B36" s="252" t="s">
        <v>1316</v>
      </c>
      <c r="C36" s="252" t="s">
        <v>1459</v>
      </c>
      <c r="D36" s="252" t="s">
        <v>1460</v>
      </c>
    </row>
    <row r="37" spans="1:4" ht="20.149999999999999" customHeight="1" x14ac:dyDescent="0.35">
      <c r="A37" s="252" t="s">
        <v>1239</v>
      </c>
      <c r="B37" s="252" t="s">
        <v>1350</v>
      </c>
      <c r="C37" s="252" t="s">
        <v>1461</v>
      </c>
      <c r="D37" s="252" t="s">
        <v>1462</v>
      </c>
    </row>
    <row r="38" spans="1:4" ht="20.149999999999999" customHeight="1" x14ac:dyDescent="0.35">
      <c r="A38" s="252" t="s">
        <v>1239</v>
      </c>
      <c r="B38" s="252" t="s">
        <v>1362</v>
      </c>
      <c r="C38" s="252" t="s">
        <v>1463</v>
      </c>
      <c r="D38" s="252" t="s">
        <v>1464</v>
      </c>
    </row>
    <row r="39" spans="1:4" ht="20.149999999999999" customHeight="1" x14ac:dyDescent="0.35">
      <c r="A39" s="252" t="s">
        <v>1240</v>
      </c>
      <c r="B39" s="252" t="s">
        <v>1337</v>
      </c>
      <c r="C39" s="252" t="s">
        <v>1465</v>
      </c>
      <c r="D39" s="252" t="s">
        <v>1466</v>
      </c>
    </row>
    <row r="40" spans="1:4" ht="20.149999999999999" customHeight="1" x14ac:dyDescent="0.35">
      <c r="A40" s="252" t="s">
        <v>1241</v>
      </c>
      <c r="B40" s="252" t="s">
        <v>1328</v>
      </c>
      <c r="C40" s="252" t="s">
        <v>1467</v>
      </c>
      <c r="D40" s="252" t="s">
        <v>1468</v>
      </c>
    </row>
    <row r="41" spans="1:4" ht="20.149999999999999" customHeight="1" x14ac:dyDescent="0.35">
      <c r="A41" s="252" t="s">
        <v>1242</v>
      </c>
      <c r="B41" s="252" t="s">
        <v>1320</v>
      </c>
      <c r="C41" s="252" t="s">
        <v>1469</v>
      </c>
      <c r="D41" s="252" t="s">
        <v>1470</v>
      </c>
    </row>
    <row r="42" spans="1:4" ht="20.149999999999999" customHeight="1" x14ac:dyDescent="0.35">
      <c r="A42" s="252" t="s">
        <v>1243</v>
      </c>
      <c r="B42" s="252" t="s">
        <v>1321</v>
      </c>
      <c r="C42" s="252" t="s">
        <v>1469</v>
      </c>
      <c r="D42" s="252" t="s">
        <v>1471</v>
      </c>
    </row>
    <row r="43" spans="1:4" ht="20.149999999999999" customHeight="1" x14ac:dyDescent="0.35">
      <c r="A43" s="252" t="s">
        <v>1243</v>
      </c>
      <c r="B43" s="252" t="s">
        <v>1323</v>
      </c>
      <c r="C43" s="252" t="s">
        <v>1472</v>
      </c>
      <c r="D43" s="252" t="s">
        <v>1473</v>
      </c>
    </row>
    <row r="44" spans="1:4" ht="20.149999999999999" customHeight="1" x14ac:dyDescent="0.35">
      <c r="A44" s="252" t="s">
        <v>1243</v>
      </c>
      <c r="B44" s="252" t="s">
        <v>1385</v>
      </c>
      <c r="C44" s="252" t="s">
        <v>1474</v>
      </c>
      <c r="D44" s="252" t="s">
        <v>1475</v>
      </c>
    </row>
    <row r="45" spans="1:4" ht="20.149999999999999" customHeight="1" x14ac:dyDescent="0.35">
      <c r="A45" s="252" t="s">
        <v>1244</v>
      </c>
      <c r="B45" s="252" t="s">
        <v>1372</v>
      </c>
      <c r="C45" s="252" t="s">
        <v>1476</v>
      </c>
      <c r="D45" s="252" t="s">
        <v>1477</v>
      </c>
    </row>
    <row r="46" spans="1:4" ht="20.149999999999999" customHeight="1" x14ac:dyDescent="0.35">
      <c r="A46" s="252" t="s">
        <v>1245</v>
      </c>
      <c r="B46" s="252" t="s">
        <v>1388</v>
      </c>
      <c r="C46" s="252" t="s">
        <v>1476</v>
      </c>
      <c r="D46" s="252" t="s">
        <v>1478</v>
      </c>
    </row>
    <row r="47" spans="1:4" ht="20.149999999999999" customHeight="1" x14ac:dyDescent="0.35">
      <c r="A47" s="252" t="s">
        <v>1246</v>
      </c>
      <c r="B47" s="252" t="s">
        <v>1318</v>
      </c>
      <c r="C47" s="252" t="s">
        <v>1479</v>
      </c>
      <c r="D47" s="252" t="s">
        <v>1480</v>
      </c>
    </row>
    <row r="48" spans="1:4" ht="20.149999999999999" customHeight="1" x14ac:dyDescent="0.35">
      <c r="A48" s="252" t="s">
        <v>1247</v>
      </c>
      <c r="B48" s="252" t="s">
        <v>1331</v>
      </c>
      <c r="C48" s="252" t="s">
        <v>1479</v>
      </c>
      <c r="D48" s="252" t="s">
        <v>1481</v>
      </c>
    </row>
    <row r="49" spans="1:4" ht="20.149999999999999" customHeight="1" x14ac:dyDescent="0.35">
      <c r="A49" s="252" t="s">
        <v>1248</v>
      </c>
      <c r="B49" s="252" t="s">
        <v>1397</v>
      </c>
      <c r="C49" s="252" t="s">
        <v>1482</v>
      </c>
      <c r="D49" s="252" t="s">
        <v>1483</v>
      </c>
    </row>
    <row r="50" spans="1:4" ht="20.149999999999999" customHeight="1" x14ac:dyDescent="0.35">
      <c r="A50" s="252" t="s">
        <v>1249</v>
      </c>
      <c r="B50" s="252" t="s">
        <v>1356</v>
      </c>
      <c r="C50" s="252" t="s">
        <v>1484</v>
      </c>
      <c r="D50" s="252" t="s">
        <v>1485</v>
      </c>
    </row>
    <row r="51" spans="1:4" x14ac:dyDescent="0.35">
      <c r="A51" s="252" t="s">
        <v>1250</v>
      </c>
      <c r="B51" s="252" t="s">
        <v>1373</v>
      </c>
      <c r="C51" s="252" t="s">
        <v>1486</v>
      </c>
      <c r="D51" s="252" t="s">
        <v>1487</v>
      </c>
    </row>
    <row r="52" spans="1:4" x14ac:dyDescent="0.35">
      <c r="A52" s="252" t="s">
        <v>1251</v>
      </c>
      <c r="B52" s="252" t="s">
        <v>1355</v>
      </c>
      <c r="C52" s="252" t="s">
        <v>1488</v>
      </c>
      <c r="D52" s="252" t="s">
        <v>1489</v>
      </c>
    </row>
    <row r="53" spans="1:4" x14ac:dyDescent="0.35">
      <c r="A53" s="252" t="s">
        <v>1252</v>
      </c>
      <c r="B53" s="252" t="s">
        <v>1326</v>
      </c>
      <c r="C53" s="252" t="s">
        <v>1490</v>
      </c>
      <c r="D53" s="252" t="s">
        <v>1491</v>
      </c>
    </row>
    <row r="54" spans="1:4" x14ac:dyDescent="0.35">
      <c r="A54" s="252" t="s">
        <v>1253</v>
      </c>
      <c r="B54" s="252" t="s">
        <v>1358</v>
      </c>
      <c r="C54" s="252" t="s">
        <v>1490</v>
      </c>
      <c r="D54" s="252" t="s">
        <v>1492</v>
      </c>
    </row>
    <row r="55" spans="1:4" x14ac:dyDescent="0.35">
      <c r="A55" s="252" t="s">
        <v>1253</v>
      </c>
      <c r="B55" s="252" t="s">
        <v>1386</v>
      </c>
      <c r="C55" s="252" t="s">
        <v>1493</v>
      </c>
      <c r="D55" s="252" t="s">
        <v>1494</v>
      </c>
    </row>
    <row r="56" spans="1:4" x14ac:dyDescent="0.35">
      <c r="A56" s="252" t="s">
        <v>1254</v>
      </c>
      <c r="B56" s="252" t="s">
        <v>1360</v>
      </c>
      <c r="C56" s="252" t="s">
        <v>1495</v>
      </c>
      <c r="D56" s="252" t="s">
        <v>1496</v>
      </c>
    </row>
    <row r="57" spans="1:4" x14ac:dyDescent="0.35">
      <c r="A57" s="252" t="s">
        <v>1255</v>
      </c>
      <c r="B57" s="252" t="s">
        <v>1325</v>
      </c>
      <c r="C57" s="252" t="s">
        <v>1497</v>
      </c>
      <c r="D57" s="252" t="s">
        <v>1498</v>
      </c>
    </row>
    <row r="58" spans="1:4" x14ac:dyDescent="0.35">
      <c r="A58" s="252" t="s">
        <v>1256</v>
      </c>
      <c r="B58" s="252" t="s">
        <v>1324</v>
      </c>
      <c r="C58" s="252" t="s">
        <v>1497</v>
      </c>
      <c r="D58" s="252" t="s">
        <v>1499</v>
      </c>
    </row>
    <row r="59" spans="1:4" x14ac:dyDescent="0.35">
      <c r="A59" s="252" t="s">
        <v>1256</v>
      </c>
      <c r="B59" s="252" t="s">
        <v>1400</v>
      </c>
      <c r="C59" s="252" t="s">
        <v>1500</v>
      </c>
      <c r="D59" s="252" t="s">
        <v>1501</v>
      </c>
    </row>
    <row r="60" spans="1:4" x14ac:dyDescent="0.35">
      <c r="A60" s="252" t="s">
        <v>1257</v>
      </c>
      <c r="B60" s="252" t="s">
        <v>1335</v>
      </c>
      <c r="C60" s="252" t="s">
        <v>1502</v>
      </c>
      <c r="D60" s="252" t="s">
        <v>1503</v>
      </c>
    </row>
    <row r="61" spans="1:4" x14ac:dyDescent="0.35">
      <c r="A61" s="252" t="s">
        <v>1258</v>
      </c>
      <c r="B61" s="252" t="s">
        <v>1380</v>
      </c>
      <c r="C61" s="252" t="s">
        <v>1504</v>
      </c>
      <c r="D61" s="252" t="s">
        <v>1505</v>
      </c>
    </row>
    <row r="62" spans="1:4" x14ac:dyDescent="0.35">
      <c r="A62" s="252" t="s">
        <v>1259</v>
      </c>
      <c r="B62" s="252" t="s">
        <v>1343</v>
      </c>
      <c r="C62" s="252" t="s">
        <v>1506</v>
      </c>
      <c r="D62" s="252" t="s">
        <v>1507</v>
      </c>
    </row>
    <row r="63" spans="1:4" x14ac:dyDescent="0.35">
      <c r="A63" s="252" t="s">
        <v>1260</v>
      </c>
      <c r="B63" s="252" t="s">
        <v>1329</v>
      </c>
      <c r="C63" s="252" t="s">
        <v>1506</v>
      </c>
      <c r="D63" s="252" t="s">
        <v>1508</v>
      </c>
    </row>
    <row r="64" spans="1:4" x14ac:dyDescent="0.35">
      <c r="A64" s="252" t="s">
        <v>1261</v>
      </c>
      <c r="B64" s="252" t="s">
        <v>1319</v>
      </c>
      <c r="C64" s="252" t="s">
        <v>1506</v>
      </c>
      <c r="D64" s="252" t="s">
        <v>1509</v>
      </c>
    </row>
    <row r="65" spans="1:4" x14ac:dyDescent="0.35">
      <c r="A65" s="252" t="s">
        <v>1262</v>
      </c>
      <c r="B65" s="252" t="s">
        <v>1401</v>
      </c>
      <c r="C65" s="252" t="s">
        <v>1506</v>
      </c>
      <c r="D65" s="252" t="s">
        <v>1510</v>
      </c>
    </row>
    <row r="66" spans="1:4" x14ac:dyDescent="0.35">
      <c r="A66" s="252" t="s">
        <v>1263</v>
      </c>
      <c r="B66" s="252" t="s">
        <v>1349</v>
      </c>
      <c r="C66" s="252" t="s">
        <v>1506</v>
      </c>
      <c r="D66" s="252" t="s">
        <v>1511</v>
      </c>
    </row>
    <row r="67" spans="1:4" x14ac:dyDescent="0.35">
      <c r="A67" s="252" t="s">
        <v>1264</v>
      </c>
      <c r="B67" s="252" t="s">
        <v>1363</v>
      </c>
      <c r="C67" s="252" t="s">
        <v>1506</v>
      </c>
      <c r="D67" s="252" t="s">
        <v>1512</v>
      </c>
    </row>
    <row r="68" spans="1:4" x14ac:dyDescent="0.35">
      <c r="A68" s="252" t="s">
        <v>1265</v>
      </c>
      <c r="B68" s="252" t="s">
        <v>1366</v>
      </c>
      <c r="C68" s="252" t="s">
        <v>1506</v>
      </c>
      <c r="D68" s="252" t="s">
        <v>1513</v>
      </c>
    </row>
    <row r="69" spans="1:4" x14ac:dyDescent="0.35">
      <c r="A69" s="252" t="s">
        <v>1266</v>
      </c>
      <c r="B69" s="252" t="s">
        <v>1312</v>
      </c>
      <c r="C69" s="252" t="s">
        <v>1506</v>
      </c>
      <c r="D69" s="252" t="s">
        <v>1514</v>
      </c>
    </row>
    <row r="70" spans="1:4" x14ac:dyDescent="0.35">
      <c r="A70" s="252" t="s">
        <v>1267</v>
      </c>
      <c r="B70" s="252" t="s">
        <v>1332</v>
      </c>
      <c r="C70" s="252" t="s">
        <v>1506</v>
      </c>
      <c r="D70" s="252" t="s">
        <v>1515</v>
      </c>
    </row>
    <row r="71" spans="1:4" x14ac:dyDescent="0.35">
      <c r="A71" s="252" t="s">
        <v>1268</v>
      </c>
      <c r="B71" s="252" t="s">
        <v>1399</v>
      </c>
      <c r="C71" s="252" t="s">
        <v>1506</v>
      </c>
      <c r="D71" s="252" t="s">
        <v>1516</v>
      </c>
    </row>
    <row r="72" spans="1:4" x14ac:dyDescent="0.35">
      <c r="A72" s="252" t="s">
        <v>1269</v>
      </c>
      <c r="B72" s="252" t="s">
        <v>1405</v>
      </c>
      <c r="C72" s="252" t="s">
        <v>1506</v>
      </c>
      <c r="D72" s="252" t="s">
        <v>1517</v>
      </c>
    </row>
    <row r="73" spans="1:4" x14ac:dyDescent="0.35">
      <c r="A73" s="252" t="s">
        <v>1270</v>
      </c>
      <c r="B73" s="252" t="s">
        <v>1314</v>
      </c>
      <c r="C73" s="252" t="s">
        <v>1506</v>
      </c>
      <c r="D73" s="252" t="s">
        <v>1518</v>
      </c>
    </row>
    <row r="74" spans="1:4" x14ac:dyDescent="0.35">
      <c r="A74" s="252" t="s">
        <v>1270</v>
      </c>
      <c r="B74" s="252" t="s">
        <v>1346</v>
      </c>
      <c r="C74" s="252" t="s">
        <v>1506</v>
      </c>
      <c r="D74" s="252" t="s">
        <v>1519</v>
      </c>
    </row>
    <row r="75" spans="1:4" x14ac:dyDescent="0.35">
      <c r="A75" s="252" t="s">
        <v>1270</v>
      </c>
      <c r="B75" s="252" t="s">
        <v>1351</v>
      </c>
      <c r="C75" s="252" t="s">
        <v>1520</v>
      </c>
      <c r="D75" s="252" t="s">
        <v>1409</v>
      </c>
    </row>
    <row r="76" spans="1:4" x14ac:dyDescent="0.35">
      <c r="A76" s="252" t="s">
        <v>1270</v>
      </c>
      <c r="B76" s="252" t="s">
        <v>1352</v>
      </c>
      <c r="C76" s="252" t="s">
        <v>1520</v>
      </c>
      <c r="D76" s="252" t="s">
        <v>1408</v>
      </c>
    </row>
    <row r="77" spans="1:4" x14ac:dyDescent="0.35">
      <c r="A77" s="252" t="s">
        <v>1270</v>
      </c>
      <c r="B77" s="252" t="s">
        <v>1354</v>
      </c>
      <c r="C77" s="252" t="s">
        <v>1520</v>
      </c>
      <c r="D77" s="252" t="s">
        <v>1521</v>
      </c>
    </row>
    <row r="78" spans="1:4" x14ac:dyDescent="0.35">
      <c r="A78" s="252" t="s">
        <v>1270</v>
      </c>
      <c r="B78" s="252" t="s">
        <v>1364</v>
      </c>
      <c r="C78" s="252" t="s">
        <v>1520</v>
      </c>
      <c r="D78" s="252" t="s">
        <v>1522</v>
      </c>
    </row>
    <row r="79" spans="1:4" x14ac:dyDescent="0.35">
      <c r="A79" s="252" t="s">
        <v>1270</v>
      </c>
      <c r="B79" s="252" t="s">
        <v>1338</v>
      </c>
      <c r="C79" s="252" t="s">
        <v>1520</v>
      </c>
      <c r="D79" s="252" t="s">
        <v>1411</v>
      </c>
    </row>
    <row r="80" spans="1:4" x14ac:dyDescent="0.35">
      <c r="A80" s="252" t="s">
        <v>1270</v>
      </c>
      <c r="B80" s="252" t="s">
        <v>1367</v>
      </c>
      <c r="C80" s="252" t="s">
        <v>1520</v>
      </c>
      <c r="D80" s="252" t="s">
        <v>1523</v>
      </c>
    </row>
    <row r="81" spans="1:4" x14ac:dyDescent="0.35">
      <c r="A81" s="252" t="s">
        <v>1270</v>
      </c>
      <c r="B81" s="252" t="s">
        <v>1369</v>
      </c>
      <c r="C81" s="252" t="s">
        <v>1524</v>
      </c>
      <c r="D81" s="252" t="s">
        <v>1415</v>
      </c>
    </row>
    <row r="82" spans="1:4" x14ac:dyDescent="0.35">
      <c r="A82" s="252" t="s">
        <v>1270</v>
      </c>
      <c r="B82" s="252" t="s">
        <v>1374</v>
      </c>
      <c r="C82" s="252" t="s">
        <v>1524</v>
      </c>
      <c r="D82" s="252" t="s">
        <v>1525</v>
      </c>
    </row>
    <row r="83" spans="1:4" x14ac:dyDescent="0.35">
      <c r="A83" s="252" t="s">
        <v>1270</v>
      </c>
      <c r="B83" s="252" t="s">
        <v>1376</v>
      </c>
      <c r="C83" s="252" t="s">
        <v>1524</v>
      </c>
      <c r="D83" s="252" t="s">
        <v>1418</v>
      </c>
    </row>
    <row r="84" spans="1:4" x14ac:dyDescent="0.35">
      <c r="A84" s="252" t="s">
        <v>1270</v>
      </c>
      <c r="B84" s="252" t="s">
        <v>1382</v>
      </c>
      <c r="C84" s="252" t="s">
        <v>1524</v>
      </c>
      <c r="D84" s="252" t="s">
        <v>1526</v>
      </c>
    </row>
    <row r="85" spans="1:4" x14ac:dyDescent="0.35">
      <c r="A85" s="252" t="s">
        <v>1270</v>
      </c>
      <c r="B85" s="252" t="s">
        <v>1384</v>
      </c>
      <c r="C85" s="252" t="s">
        <v>1524</v>
      </c>
      <c r="D85" s="252" t="s">
        <v>1417</v>
      </c>
    </row>
    <row r="86" spans="1:4" x14ac:dyDescent="0.35">
      <c r="A86" s="252" t="s">
        <v>1270</v>
      </c>
      <c r="B86" s="252" t="s">
        <v>1347</v>
      </c>
      <c r="C86" s="252" t="s">
        <v>1527</v>
      </c>
      <c r="D86" s="252" t="s">
        <v>1422</v>
      </c>
    </row>
    <row r="87" spans="1:4" x14ac:dyDescent="0.35">
      <c r="A87" s="252" t="s">
        <v>1270</v>
      </c>
      <c r="B87" s="252" t="s">
        <v>1387</v>
      </c>
      <c r="C87" s="252" t="s">
        <v>1528</v>
      </c>
      <c r="D87" s="252" t="s">
        <v>1425</v>
      </c>
    </row>
    <row r="88" spans="1:4" x14ac:dyDescent="0.35">
      <c r="A88" s="252" t="s">
        <v>1270</v>
      </c>
      <c r="B88" s="252" t="s">
        <v>1391</v>
      </c>
      <c r="C88" s="252" t="s">
        <v>1529</v>
      </c>
      <c r="D88" s="252" t="s">
        <v>1530</v>
      </c>
    </row>
    <row r="89" spans="1:4" x14ac:dyDescent="0.35">
      <c r="A89" s="252" t="s">
        <v>1270</v>
      </c>
      <c r="B89" s="252" t="s">
        <v>1333</v>
      </c>
      <c r="C89" s="252" t="s">
        <v>1531</v>
      </c>
      <c r="D89" s="252" t="s">
        <v>1532</v>
      </c>
    </row>
    <row r="90" spans="1:4" x14ac:dyDescent="0.35">
      <c r="A90" s="252" t="s">
        <v>1270</v>
      </c>
      <c r="B90" s="252" t="s">
        <v>1402</v>
      </c>
      <c r="C90" s="252" t="s">
        <v>1533</v>
      </c>
      <c r="D90" s="252" t="s">
        <v>1427</v>
      </c>
    </row>
    <row r="91" spans="1:4" x14ac:dyDescent="0.35">
      <c r="A91" s="252" t="s">
        <v>1270</v>
      </c>
      <c r="B91" s="252" t="s">
        <v>1403</v>
      </c>
      <c r="C91" s="252" t="s">
        <v>1534</v>
      </c>
      <c r="D91" s="252" t="s">
        <v>1429</v>
      </c>
    </row>
    <row r="92" spans="1:4" x14ac:dyDescent="0.35">
      <c r="A92" s="252" t="s">
        <v>1270</v>
      </c>
      <c r="B92" s="252" t="s">
        <v>1404</v>
      </c>
      <c r="C92" s="252" t="s">
        <v>1535</v>
      </c>
      <c r="D92" s="252" t="s">
        <v>1431</v>
      </c>
    </row>
    <row r="93" spans="1:4" x14ac:dyDescent="0.35">
      <c r="A93" s="252" t="s">
        <v>1271</v>
      </c>
      <c r="B93" s="252" t="s">
        <v>1322</v>
      </c>
      <c r="C93" s="252" t="s">
        <v>1535</v>
      </c>
      <c r="D93" s="252" t="s">
        <v>1536</v>
      </c>
    </row>
    <row r="94" spans="1:4" x14ac:dyDescent="0.35">
      <c r="A94" s="252" t="s">
        <v>1271</v>
      </c>
      <c r="B94" s="252" t="s">
        <v>1342</v>
      </c>
      <c r="C94" s="252" t="s">
        <v>1537</v>
      </c>
      <c r="D94" s="252" t="s">
        <v>1433</v>
      </c>
    </row>
    <row r="95" spans="1:4" x14ac:dyDescent="0.35">
      <c r="A95" s="252" t="s">
        <v>1271</v>
      </c>
      <c r="B95" s="252" t="s">
        <v>1365</v>
      </c>
      <c r="C95" s="252" t="s">
        <v>1538</v>
      </c>
      <c r="D95" s="252" t="s">
        <v>1435</v>
      </c>
    </row>
    <row r="96" spans="1:4" x14ac:dyDescent="0.35">
      <c r="A96" s="252" t="s">
        <v>1272</v>
      </c>
      <c r="B96" s="252" t="s">
        <v>1345</v>
      </c>
      <c r="C96" s="252" t="s">
        <v>1538</v>
      </c>
      <c r="D96" s="252" t="s">
        <v>1539</v>
      </c>
    </row>
    <row r="97" spans="1:4" x14ac:dyDescent="0.35">
      <c r="A97" s="252" t="s">
        <v>1273</v>
      </c>
      <c r="B97" s="252" t="s">
        <v>1368</v>
      </c>
      <c r="C97" s="252" t="s">
        <v>1540</v>
      </c>
      <c r="D97" s="252" t="s">
        <v>1437</v>
      </c>
    </row>
    <row r="98" spans="1:4" x14ac:dyDescent="0.35">
      <c r="A98" s="252" t="s">
        <v>1274</v>
      </c>
      <c r="B98" s="252" t="s">
        <v>1357</v>
      </c>
      <c r="C98" s="252" t="s">
        <v>1540</v>
      </c>
      <c r="D98" s="252" t="s">
        <v>1541</v>
      </c>
    </row>
    <row r="99" spans="1:4" x14ac:dyDescent="0.35">
      <c r="A99" s="252" t="s">
        <v>1275</v>
      </c>
      <c r="B99" s="252" t="s">
        <v>1326</v>
      </c>
      <c r="C99" s="252" t="s">
        <v>1542</v>
      </c>
      <c r="D99" s="252" t="s">
        <v>1442</v>
      </c>
    </row>
    <row r="100" spans="1:4" x14ac:dyDescent="0.35">
      <c r="A100" s="252" t="s">
        <v>1275</v>
      </c>
      <c r="B100" s="252" t="s">
        <v>1311</v>
      </c>
      <c r="C100" s="252" t="s">
        <v>1543</v>
      </c>
      <c r="D100" s="252" t="s">
        <v>1444</v>
      </c>
    </row>
    <row r="101" spans="1:4" x14ac:dyDescent="0.35">
      <c r="A101" s="252" t="s">
        <v>1276</v>
      </c>
      <c r="B101" s="252" t="s">
        <v>1327</v>
      </c>
      <c r="C101" s="252" t="s">
        <v>1544</v>
      </c>
      <c r="D101" s="252" t="s">
        <v>1446</v>
      </c>
    </row>
    <row r="102" spans="1:4" x14ac:dyDescent="0.35">
      <c r="A102" s="252" t="s">
        <v>1277</v>
      </c>
      <c r="B102" s="252" t="s">
        <v>1359</v>
      </c>
      <c r="C102" s="252" t="s">
        <v>1545</v>
      </c>
      <c r="D102" s="252" t="s">
        <v>1448</v>
      </c>
    </row>
    <row r="103" spans="1:4" x14ac:dyDescent="0.35">
      <c r="A103" s="252" t="s">
        <v>1278</v>
      </c>
      <c r="B103" s="252" t="s">
        <v>1330</v>
      </c>
      <c r="C103" s="252" t="s">
        <v>1546</v>
      </c>
      <c r="D103" s="252" t="s">
        <v>1547</v>
      </c>
    </row>
    <row r="104" spans="1:4" x14ac:dyDescent="0.35">
      <c r="A104" s="252" t="s">
        <v>1278</v>
      </c>
      <c r="B104" s="252" t="s">
        <v>1375</v>
      </c>
      <c r="C104" s="252" t="s">
        <v>1548</v>
      </c>
      <c r="D104" s="252" t="s">
        <v>1450</v>
      </c>
    </row>
    <row r="105" spans="1:4" x14ac:dyDescent="0.35">
      <c r="A105" s="252" t="s">
        <v>1279</v>
      </c>
      <c r="B105" s="252" t="s">
        <v>1313</v>
      </c>
      <c r="C105" s="252" t="s">
        <v>1549</v>
      </c>
      <c r="D105" s="252" t="s">
        <v>1550</v>
      </c>
    </row>
    <row r="106" spans="1:4" x14ac:dyDescent="0.35">
      <c r="A106" s="252" t="s">
        <v>1279</v>
      </c>
      <c r="B106" s="252" t="s">
        <v>1341</v>
      </c>
      <c r="C106" s="252" t="s">
        <v>1551</v>
      </c>
      <c r="D106" s="252" t="s">
        <v>1454</v>
      </c>
    </row>
    <row r="107" spans="1:4" x14ac:dyDescent="0.35">
      <c r="A107" s="252" t="s">
        <v>1280</v>
      </c>
      <c r="B107" s="252" t="s">
        <v>1370</v>
      </c>
      <c r="C107" s="252" t="s">
        <v>1552</v>
      </c>
      <c r="D107" s="252" t="s">
        <v>1456</v>
      </c>
    </row>
    <row r="108" spans="1:4" x14ac:dyDescent="0.35">
      <c r="A108" s="252" t="s">
        <v>1281</v>
      </c>
      <c r="B108" s="252" t="s">
        <v>1315</v>
      </c>
      <c r="C108" s="252" t="s">
        <v>1553</v>
      </c>
      <c r="D108" s="252" t="s">
        <v>1458</v>
      </c>
    </row>
    <row r="109" spans="1:4" x14ac:dyDescent="0.35">
      <c r="A109" s="252" t="s">
        <v>1281</v>
      </c>
      <c r="B109" s="252" t="s">
        <v>1344</v>
      </c>
      <c r="C109" s="252" t="s">
        <v>1554</v>
      </c>
      <c r="D109" s="252" t="s">
        <v>1555</v>
      </c>
    </row>
    <row r="110" spans="1:4" x14ac:dyDescent="0.35">
      <c r="A110" s="252" t="s">
        <v>1281</v>
      </c>
      <c r="B110" s="252" t="s">
        <v>1350</v>
      </c>
      <c r="C110" s="252" t="s">
        <v>1556</v>
      </c>
      <c r="D110" s="252" t="s">
        <v>1460</v>
      </c>
    </row>
    <row r="111" spans="1:4" x14ac:dyDescent="0.35">
      <c r="A111" s="252" t="s">
        <v>1281</v>
      </c>
      <c r="B111" s="252" t="s">
        <v>1316</v>
      </c>
      <c r="C111" s="252" t="s">
        <v>1557</v>
      </c>
      <c r="D111" s="252" t="s">
        <v>1462</v>
      </c>
    </row>
    <row r="112" spans="1:4" x14ac:dyDescent="0.35">
      <c r="A112" s="252" t="s">
        <v>1281</v>
      </c>
      <c r="B112" s="252" t="s">
        <v>1340</v>
      </c>
      <c r="C112" s="252" t="s">
        <v>1558</v>
      </c>
      <c r="D112" s="252" t="s">
        <v>1470</v>
      </c>
    </row>
    <row r="113" spans="1:4" x14ac:dyDescent="0.35">
      <c r="A113" s="252" t="s">
        <v>1281</v>
      </c>
      <c r="B113" s="252" t="s">
        <v>1317</v>
      </c>
      <c r="C113" s="252" t="s">
        <v>1558</v>
      </c>
      <c r="D113" s="252" t="s">
        <v>1559</v>
      </c>
    </row>
    <row r="114" spans="1:4" x14ac:dyDescent="0.35">
      <c r="A114" s="252" t="s">
        <v>1282</v>
      </c>
      <c r="B114" s="252" t="s">
        <v>1328</v>
      </c>
      <c r="C114" s="252" t="s">
        <v>1560</v>
      </c>
      <c r="D114" s="252" t="s">
        <v>1475</v>
      </c>
    </row>
    <row r="115" spans="1:4" x14ac:dyDescent="0.35">
      <c r="A115" s="252" t="s">
        <v>1283</v>
      </c>
      <c r="B115" s="252" t="s">
        <v>1320</v>
      </c>
      <c r="C115" s="252" t="s">
        <v>1561</v>
      </c>
      <c r="D115" s="252" t="s">
        <v>1477</v>
      </c>
    </row>
    <row r="116" spans="1:4" x14ac:dyDescent="0.35">
      <c r="A116" s="252" t="s">
        <v>1284</v>
      </c>
      <c r="B116" s="252" t="s">
        <v>1321</v>
      </c>
      <c r="C116" s="252" t="s">
        <v>1561</v>
      </c>
      <c r="D116" s="252" t="s">
        <v>1478</v>
      </c>
    </row>
    <row r="117" spans="1:4" x14ac:dyDescent="0.35">
      <c r="A117" s="252" t="s">
        <v>1284</v>
      </c>
      <c r="B117" s="252" t="s">
        <v>1323</v>
      </c>
      <c r="C117" s="252" t="s">
        <v>1562</v>
      </c>
      <c r="D117" s="252" t="s">
        <v>1483</v>
      </c>
    </row>
    <row r="118" spans="1:4" x14ac:dyDescent="0.35">
      <c r="A118" s="252" t="s">
        <v>1284</v>
      </c>
      <c r="B118" s="252" t="s">
        <v>1378</v>
      </c>
      <c r="C118" s="252" t="s">
        <v>1563</v>
      </c>
      <c r="D118" s="252" t="s">
        <v>1487</v>
      </c>
    </row>
    <row r="119" spans="1:4" x14ac:dyDescent="0.35">
      <c r="A119" s="252" t="s">
        <v>1284</v>
      </c>
      <c r="B119" s="252" t="s">
        <v>1385</v>
      </c>
      <c r="C119" s="252" t="s">
        <v>1564</v>
      </c>
      <c r="D119" s="252" t="s">
        <v>1489</v>
      </c>
    </row>
    <row r="120" spans="1:4" x14ac:dyDescent="0.35">
      <c r="A120" s="252" t="s">
        <v>1284</v>
      </c>
      <c r="B120" s="252" t="s">
        <v>1396</v>
      </c>
      <c r="C120" s="252" t="s">
        <v>1565</v>
      </c>
      <c r="D120" s="252" t="s">
        <v>1491</v>
      </c>
    </row>
    <row r="121" spans="1:4" x14ac:dyDescent="0.35">
      <c r="A121" s="252" t="s">
        <v>1285</v>
      </c>
      <c r="B121" s="252" t="s">
        <v>1406</v>
      </c>
      <c r="C121" s="252" t="s">
        <v>1565</v>
      </c>
      <c r="D121" s="252" t="s">
        <v>1492</v>
      </c>
    </row>
    <row r="122" spans="1:4" x14ac:dyDescent="0.35">
      <c r="A122" s="252" t="s">
        <v>1286</v>
      </c>
      <c r="B122" s="252" t="s">
        <v>1388</v>
      </c>
      <c r="C122" s="252" t="s">
        <v>1566</v>
      </c>
      <c r="D122" s="252" t="s">
        <v>1494</v>
      </c>
    </row>
    <row r="123" spans="1:4" x14ac:dyDescent="0.35">
      <c r="A123" s="252" t="s">
        <v>1287</v>
      </c>
      <c r="B123" s="252" t="s">
        <v>1318</v>
      </c>
      <c r="C123" s="252" t="s">
        <v>1567</v>
      </c>
      <c r="D123" s="252" t="s">
        <v>1496</v>
      </c>
    </row>
    <row r="124" spans="1:4" x14ac:dyDescent="0.35">
      <c r="A124" s="252" t="s">
        <v>1287</v>
      </c>
      <c r="B124" s="252" t="s">
        <v>1379</v>
      </c>
      <c r="C124" s="252" t="s">
        <v>1568</v>
      </c>
      <c r="D124" s="252" t="s">
        <v>1499</v>
      </c>
    </row>
    <row r="125" spans="1:4" x14ac:dyDescent="0.35">
      <c r="A125" s="252" t="s">
        <v>1288</v>
      </c>
      <c r="B125" s="252" t="s">
        <v>1331</v>
      </c>
      <c r="C125" s="252" t="s">
        <v>1568</v>
      </c>
      <c r="D125" s="252" t="s">
        <v>1498</v>
      </c>
    </row>
    <row r="126" spans="1:4" x14ac:dyDescent="0.35">
      <c r="A126" s="252" t="s">
        <v>1289</v>
      </c>
      <c r="B126" s="252" t="s">
        <v>1358</v>
      </c>
      <c r="C126" s="252" t="s">
        <v>1569</v>
      </c>
      <c r="D126" s="252" t="s">
        <v>1501</v>
      </c>
    </row>
    <row r="127" spans="1:4" x14ac:dyDescent="0.35">
      <c r="A127" s="252" t="s">
        <v>1290</v>
      </c>
      <c r="B127" s="252" t="s">
        <v>1324</v>
      </c>
      <c r="C127" s="252" t="s">
        <v>1569</v>
      </c>
      <c r="D127" s="252" t="s">
        <v>1570</v>
      </c>
    </row>
    <row r="128" spans="1:4" x14ac:dyDescent="0.35">
      <c r="A128" s="252" t="s">
        <v>1291</v>
      </c>
      <c r="B128" s="252" t="s">
        <v>1335</v>
      </c>
      <c r="C128" s="252" t="s">
        <v>1571</v>
      </c>
      <c r="D128" s="252" t="s">
        <v>1510</v>
      </c>
    </row>
    <row r="129" spans="1:4" x14ac:dyDescent="0.35">
      <c r="A129" s="252" t="s">
        <v>1292</v>
      </c>
      <c r="B129" s="252" t="s">
        <v>1335</v>
      </c>
      <c r="C129" s="252" t="s">
        <v>1571</v>
      </c>
      <c r="D129" s="252" t="s">
        <v>1508</v>
      </c>
    </row>
    <row r="130" spans="1:4" x14ac:dyDescent="0.35">
      <c r="A130" s="252" t="s">
        <v>1293</v>
      </c>
      <c r="B130" s="252" t="s">
        <v>1380</v>
      </c>
      <c r="C130" s="252" t="s">
        <v>1571</v>
      </c>
      <c r="D130" s="252" t="s">
        <v>1572</v>
      </c>
    </row>
    <row r="131" spans="1:4" x14ac:dyDescent="0.35">
      <c r="A131" s="252" t="s">
        <v>1294</v>
      </c>
      <c r="B131" s="252" t="s">
        <v>1343</v>
      </c>
      <c r="C131" s="252" t="s">
        <v>1571</v>
      </c>
      <c r="D131" s="252" t="s">
        <v>1511</v>
      </c>
    </row>
    <row r="132" spans="1:4" x14ac:dyDescent="0.35">
      <c r="A132" s="252" t="s">
        <v>1295</v>
      </c>
      <c r="B132" s="252" t="s">
        <v>1329</v>
      </c>
      <c r="C132" s="252" t="s">
        <v>1571</v>
      </c>
      <c r="D132" s="252" t="s">
        <v>1518</v>
      </c>
    </row>
    <row r="133" spans="1:4" x14ac:dyDescent="0.35">
      <c r="A133" s="252" t="s">
        <v>1296</v>
      </c>
      <c r="B133" s="252" t="s">
        <v>1319</v>
      </c>
      <c r="C133" s="252" t="s">
        <v>1571</v>
      </c>
      <c r="D133" s="252" t="s">
        <v>1517</v>
      </c>
    </row>
    <row r="134" spans="1:4" x14ac:dyDescent="0.35">
      <c r="A134" s="252" t="s">
        <v>1297</v>
      </c>
      <c r="B134" s="252" t="s">
        <v>1349</v>
      </c>
      <c r="C134" s="252" t="s">
        <v>1571</v>
      </c>
      <c r="D134" s="252" t="s">
        <v>1507</v>
      </c>
    </row>
    <row r="135" spans="1:4" x14ac:dyDescent="0.35">
      <c r="A135" s="252" t="s">
        <v>1298</v>
      </c>
      <c r="B135" s="252" t="s">
        <v>1363</v>
      </c>
      <c r="C135" s="252" t="s">
        <v>1571</v>
      </c>
      <c r="D135" s="252" t="s">
        <v>1512</v>
      </c>
    </row>
    <row r="136" spans="1:4" x14ac:dyDescent="0.35">
      <c r="A136" s="252" t="s">
        <v>1299</v>
      </c>
      <c r="B136" s="252" t="s">
        <v>1366</v>
      </c>
      <c r="C136" s="252" t="s">
        <v>1571</v>
      </c>
      <c r="D136" s="252" t="s">
        <v>1514</v>
      </c>
    </row>
    <row r="137" spans="1:4" x14ac:dyDescent="0.35">
      <c r="A137" s="252" t="s">
        <v>1300</v>
      </c>
      <c r="B137" s="252" t="s">
        <v>1390</v>
      </c>
      <c r="C137" s="252" t="s">
        <v>1571</v>
      </c>
      <c r="D137" s="252" t="s">
        <v>1515</v>
      </c>
    </row>
    <row r="138" spans="1:4" x14ac:dyDescent="0.35">
      <c r="A138" s="252" t="s">
        <v>1301</v>
      </c>
      <c r="B138" s="252" t="s">
        <v>1332</v>
      </c>
      <c r="C138" s="252" t="s">
        <v>1571</v>
      </c>
      <c r="D138" s="252" t="s">
        <v>1519</v>
      </c>
    </row>
    <row r="139" spans="1:4" x14ac:dyDescent="0.35">
      <c r="A139" s="252" t="s">
        <v>1302</v>
      </c>
      <c r="B139" s="252" t="s">
        <v>1362</v>
      </c>
      <c r="C139" s="252" t="s">
        <v>1573</v>
      </c>
      <c r="D139" s="252" t="s">
        <v>1574</v>
      </c>
    </row>
    <row r="140" spans="1:4" x14ac:dyDescent="0.35">
      <c r="A140" s="252" t="s">
        <v>1302</v>
      </c>
      <c r="B140" s="252" t="s">
        <v>1392</v>
      </c>
      <c r="C140" s="252" t="s">
        <v>1573</v>
      </c>
      <c r="D140" s="252" t="s">
        <v>1409</v>
      </c>
    </row>
    <row r="141" spans="1:4" x14ac:dyDescent="0.35">
      <c r="A141" s="252" t="s">
        <v>1303</v>
      </c>
      <c r="B141" s="252" t="s">
        <v>1338</v>
      </c>
      <c r="C141" s="252" t="s">
        <v>1575</v>
      </c>
      <c r="D141" s="252" t="s">
        <v>1576</v>
      </c>
    </row>
    <row r="142" spans="1:4" x14ac:dyDescent="0.35">
      <c r="A142" s="252" t="s">
        <v>1303</v>
      </c>
      <c r="B142" s="252" t="s">
        <v>1314</v>
      </c>
      <c r="C142" s="252" t="s">
        <v>1575</v>
      </c>
      <c r="D142" s="252" t="s">
        <v>1418</v>
      </c>
    </row>
    <row r="143" spans="1:4" x14ac:dyDescent="0.35">
      <c r="A143" s="252" t="s">
        <v>1303</v>
      </c>
      <c r="B143" s="252" t="s">
        <v>1346</v>
      </c>
      <c r="C143" s="252" t="s">
        <v>1577</v>
      </c>
      <c r="D143" s="252" t="s">
        <v>1578</v>
      </c>
    </row>
    <row r="144" spans="1:4" x14ac:dyDescent="0.35">
      <c r="A144" s="252" t="s">
        <v>1303</v>
      </c>
      <c r="B144" s="252" t="s">
        <v>1347</v>
      </c>
      <c r="C144" s="252" t="s">
        <v>1577</v>
      </c>
      <c r="D144" s="252" t="s">
        <v>1423</v>
      </c>
    </row>
    <row r="145" spans="1:4" x14ac:dyDescent="0.35">
      <c r="A145" s="252" t="s">
        <v>1303</v>
      </c>
      <c r="B145" s="252" t="s">
        <v>1364</v>
      </c>
      <c r="C145" s="252" t="s">
        <v>1577</v>
      </c>
      <c r="D145" s="252" t="s">
        <v>1579</v>
      </c>
    </row>
    <row r="146" spans="1:4" x14ac:dyDescent="0.35">
      <c r="A146" s="252" t="s">
        <v>1303</v>
      </c>
      <c r="B146" s="252" t="s">
        <v>1394</v>
      </c>
      <c r="C146" s="252" t="s">
        <v>1580</v>
      </c>
      <c r="D146" s="252" t="s">
        <v>1581</v>
      </c>
    </row>
    <row r="147" spans="1:4" x14ac:dyDescent="0.35">
      <c r="A147" s="252" t="s">
        <v>1303</v>
      </c>
      <c r="B147" s="252" t="s">
        <v>1381</v>
      </c>
      <c r="C147" s="252" t="s">
        <v>1580</v>
      </c>
      <c r="D147" s="252" t="s">
        <v>1582</v>
      </c>
    </row>
    <row r="148" spans="1:4" x14ac:dyDescent="0.35">
      <c r="A148" s="252" t="s">
        <v>1303</v>
      </c>
      <c r="B148" s="252" t="s">
        <v>1369</v>
      </c>
      <c r="C148" s="252" t="s">
        <v>1583</v>
      </c>
      <c r="D148" s="252" t="s">
        <v>1584</v>
      </c>
    </row>
    <row r="149" spans="1:4" x14ac:dyDescent="0.35">
      <c r="A149" s="252" t="s">
        <v>1303</v>
      </c>
      <c r="B149" s="252" t="s">
        <v>1384</v>
      </c>
      <c r="C149" s="252" t="s">
        <v>1585</v>
      </c>
      <c r="D149" s="252" t="s">
        <v>1586</v>
      </c>
    </row>
    <row r="150" spans="1:4" x14ac:dyDescent="0.35">
      <c r="A150" s="252" t="s">
        <v>1303</v>
      </c>
      <c r="B150" s="252" t="s">
        <v>1404</v>
      </c>
      <c r="C150" s="252" t="s">
        <v>1585</v>
      </c>
      <c r="D150" s="252" t="s">
        <v>1587</v>
      </c>
    </row>
    <row r="151" spans="1:4" x14ac:dyDescent="0.35">
      <c r="A151" s="252" t="s">
        <v>1304</v>
      </c>
      <c r="B151" s="252" t="s">
        <v>1322</v>
      </c>
      <c r="C151" s="252"/>
      <c r="D151" s="252"/>
    </row>
    <row r="152" spans="1:4" x14ac:dyDescent="0.35">
      <c r="A152" s="252" t="s">
        <v>1304</v>
      </c>
      <c r="B152" s="252" t="s">
        <v>1389</v>
      </c>
      <c r="C152" s="252"/>
      <c r="D152" s="252"/>
    </row>
    <row r="153" spans="1:4" x14ac:dyDescent="0.35">
      <c r="A153" s="252" t="s">
        <v>1305</v>
      </c>
      <c r="B153" s="252" t="s">
        <v>1327</v>
      </c>
      <c r="C153" s="252"/>
      <c r="D153" s="252"/>
    </row>
    <row r="154" spans="1:4" x14ac:dyDescent="0.35">
      <c r="A154" s="252" t="s">
        <v>1305</v>
      </c>
      <c r="B154" s="252" t="s">
        <v>1393</v>
      </c>
      <c r="C154" s="252"/>
      <c r="D154" s="252"/>
    </row>
    <row r="155" spans="1:4" x14ac:dyDescent="0.35">
      <c r="A155" s="252" t="s">
        <v>1306</v>
      </c>
      <c r="B155" s="252" t="s">
        <v>1383</v>
      </c>
      <c r="C155" s="252"/>
      <c r="D155" s="252"/>
    </row>
    <row r="156" spans="1:4" x14ac:dyDescent="0.35">
      <c r="A156" s="252" t="s">
        <v>1307</v>
      </c>
      <c r="B156" s="252" t="s">
        <v>1353</v>
      </c>
      <c r="C156" s="252"/>
      <c r="D156" s="252"/>
    </row>
    <row r="157" spans="1:4" x14ac:dyDescent="0.35">
      <c r="A157" s="252" t="s">
        <v>1307</v>
      </c>
      <c r="B157" s="252" t="s">
        <v>1334</v>
      </c>
      <c r="C157" s="252"/>
      <c r="D157" s="252"/>
    </row>
    <row r="158" spans="1:4" x14ac:dyDescent="0.35">
      <c r="A158" s="252" t="s">
        <v>1308</v>
      </c>
      <c r="B158" s="252" t="s">
        <v>1323</v>
      </c>
      <c r="C158" s="252"/>
      <c r="D158" s="252"/>
    </row>
    <row r="159" spans="1:4" x14ac:dyDescent="0.35">
      <c r="A159" s="252" t="s">
        <v>1309</v>
      </c>
      <c r="B159" s="252" t="s">
        <v>1318</v>
      </c>
      <c r="C159" s="252"/>
      <c r="D159" s="252"/>
    </row>
    <row r="160" spans="1:4" x14ac:dyDescent="0.35">
      <c r="A160" s="252" t="s">
        <v>1310</v>
      </c>
      <c r="B160" s="252" t="s">
        <v>1333</v>
      </c>
      <c r="C160" s="252"/>
      <c r="D160" s="252"/>
    </row>
    <row r="161" spans="1:4" x14ac:dyDescent="0.35">
      <c r="A161" s="252" t="s">
        <v>1310</v>
      </c>
      <c r="B161" s="252" t="s">
        <v>1343</v>
      </c>
      <c r="C161" s="252"/>
      <c r="D161" s="252"/>
    </row>
    <row r="162" spans="1:4" x14ac:dyDescent="0.35">
      <c r="A162" s="252" t="s">
        <v>1310</v>
      </c>
      <c r="B162" s="252" t="s">
        <v>1381</v>
      </c>
      <c r="C162" s="252"/>
      <c r="D162" s="252"/>
    </row>
    <row r="163" spans="1:4" x14ac:dyDescent="0.35">
      <c r="A163" s="252" t="s">
        <v>1310</v>
      </c>
      <c r="B163" s="252" t="s">
        <v>1314</v>
      </c>
      <c r="C163" s="252"/>
      <c r="D163" s="252"/>
    </row>
    <row r="164" spans="1:4" x14ac:dyDescent="0.35">
      <c r="A164" s="252" t="s">
        <v>1310</v>
      </c>
      <c r="B164" s="252" t="s">
        <v>1364</v>
      </c>
      <c r="C164" s="252"/>
      <c r="D164" s="252"/>
    </row>
  </sheetData>
  <mergeCells count="2">
    <mergeCell ref="A1:D1"/>
    <mergeCell ref="A2:D2"/>
  </mergeCells>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C793-222A-44D9-A007-827376E0A4F9}">
  <dimension ref="A1:E1781"/>
  <sheetViews>
    <sheetView topLeftCell="A2" zoomScale="80" zoomScaleNormal="80" workbookViewId="0">
      <selection activeCell="B1680" sqref="B1680"/>
    </sheetView>
  </sheetViews>
  <sheetFormatPr defaultColWidth="9.453125" defaultRowHeight="14.5" x14ac:dyDescent="0.35"/>
  <cols>
    <col min="1" max="2" width="66.54296875" style="216" customWidth="1"/>
    <col min="3" max="3" width="73.08984375" style="216" customWidth="1"/>
    <col min="4" max="4" width="81.36328125" style="216" bestFit="1" customWidth="1"/>
    <col min="5" max="16384" width="9.453125" style="216"/>
  </cols>
  <sheetData>
    <row r="1" spans="1:4" s="78" customFormat="1" ht="80.150000000000006" customHeight="1" x14ac:dyDescent="0.35">
      <c r="A1" s="271" t="s">
        <v>36</v>
      </c>
      <c r="B1" s="271"/>
      <c r="C1" s="271"/>
      <c r="D1" s="271"/>
    </row>
    <row r="2" spans="1:4" s="78" customFormat="1" ht="50.15" customHeight="1" x14ac:dyDescent="0.35">
      <c r="A2" s="283" t="s">
        <v>142</v>
      </c>
      <c r="B2" s="283"/>
      <c r="C2" s="283"/>
      <c r="D2" s="283"/>
    </row>
    <row r="3" spans="1:4" ht="20.149999999999999" customHeight="1" x14ac:dyDescent="0.35">
      <c r="A3" s="253" t="s">
        <v>143</v>
      </c>
      <c r="B3" s="253" t="s">
        <v>144</v>
      </c>
      <c r="C3" s="253" t="s">
        <v>145</v>
      </c>
      <c r="D3" s="253" t="s">
        <v>146</v>
      </c>
    </row>
    <row r="4" spans="1:4" ht="20.149999999999999" customHeight="1" x14ac:dyDescent="0.35">
      <c r="A4" s="264" t="s">
        <v>1588</v>
      </c>
      <c r="B4" s="264"/>
      <c r="C4" s="252"/>
      <c r="D4" s="252"/>
    </row>
    <row r="5" spans="1:4" ht="20.149999999999999" customHeight="1" x14ac:dyDescent="0.35">
      <c r="A5" s="264" t="s">
        <v>1589</v>
      </c>
      <c r="B5" s="264"/>
      <c r="C5" s="252"/>
      <c r="D5" s="252"/>
    </row>
    <row r="6" spans="1:4" ht="20.149999999999999" customHeight="1" x14ac:dyDescent="0.35">
      <c r="A6" s="264" t="s">
        <v>1590</v>
      </c>
      <c r="B6" s="264"/>
      <c r="C6" s="252"/>
      <c r="D6" s="252"/>
    </row>
    <row r="7" spans="1:4" ht="20.149999999999999" customHeight="1" x14ac:dyDescent="0.35">
      <c r="A7" s="264" t="s">
        <v>1591</v>
      </c>
      <c r="B7" s="264"/>
      <c r="C7" s="252"/>
      <c r="D7" s="252"/>
    </row>
    <row r="8" spans="1:4" ht="20.149999999999999" customHeight="1" x14ac:dyDescent="0.35">
      <c r="A8" s="264" t="s">
        <v>1592</v>
      </c>
      <c r="B8" s="264"/>
      <c r="C8" s="252"/>
      <c r="D8" s="252"/>
    </row>
    <row r="9" spans="1:4" ht="20.149999999999999" customHeight="1" x14ac:dyDescent="0.35">
      <c r="A9" s="264" t="s">
        <v>1593</v>
      </c>
      <c r="B9" s="264"/>
      <c r="C9" s="252"/>
      <c r="D9" s="252"/>
    </row>
    <row r="10" spans="1:4" ht="20.149999999999999" customHeight="1" x14ac:dyDescent="0.35">
      <c r="A10" s="264" t="s">
        <v>1594</v>
      </c>
      <c r="B10" s="264"/>
      <c r="C10" s="252"/>
      <c r="D10" s="252"/>
    </row>
    <row r="11" spans="1:4" ht="20.149999999999999" customHeight="1" x14ac:dyDescent="0.35">
      <c r="A11" s="264" t="s">
        <v>1595</v>
      </c>
      <c r="B11" s="264"/>
      <c r="C11" s="252"/>
      <c r="D11" s="252"/>
    </row>
    <row r="12" spans="1:4" ht="20.149999999999999" customHeight="1" x14ac:dyDescent="0.35">
      <c r="A12" s="264" t="s">
        <v>1596</v>
      </c>
      <c r="B12" s="264"/>
      <c r="C12" s="252"/>
      <c r="D12" s="252"/>
    </row>
    <row r="13" spans="1:4" ht="20.149999999999999" customHeight="1" x14ac:dyDescent="0.35">
      <c r="A13" s="264" t="s">
        <v>1597</v>
      </c>
      <c r="B13" s="264"/>
      <c r="C13" s="252"/>
      <c r="D13" s="252"/>
    </row>
    <row r="14" spans="1:4" ht="20.149999999999999" customHeight="1" x14ac:dyDescent="0.35">
      <c r="A14" s="264" t="s">
        <v>1598</v>
      </c>
      <c r="B14" s="264"/>
      <c r="C14" s="252"/>
      <c r="D14" s="252"/>
    </row>
    <row r="15" spans="1:4" ht="20.149999999999999" customHeight="1" x14ac:dyDescent="0.35">
      <c r="A15" s="264" t="s">
        <v>1599</v>
      </c>
      <c r="B15" s="264"/>
      <c r="C15" s="252"/>
      <c r="D15" s="252"/>
    </row>
    <row r="16" spans="1:4" ht="20.149999999999999" customHeight="1" x14ac:dyDescent="0.35">
      <c r="A16" s="265" t="s">
        <v>1600</v>
      </c>
      <c r="B16" s="265"/>
      <c r="C16" s="252"/>
      <c r="D16" s="252"/>
    </row>
    <row r="17" spans="1:4" ht="20.149999999999999" customHeight="1" x14ac:dyDescent="0.35">
      <c r="A17" s="264" t="s">
        <v>1601</v>
      </c>
      <c r="B17" s="264"/>
      <c r="C17" s="252"/>
      <c r="D17" s="252"/>
    </row>
    <row r="18" spans="1:4" ht="20.149999999999999" customHeight="1" x14ac:dyDescent="0.35">
      <c r="A18" s="264" t="s">
        <v>1602</v>
      </c>
      <c r="B18" s="264"/>
      <c r="C18" s="252"/>
      <c r="D18" s="252"/>
    </row>
    <row r="19" spans="1:4" ht="20.149999999999999" customHeight="1" x14ac:dyDescent="0.35">
      <c r="A19" s="264" t="s">
        <v>1603</v>
      </c>
      <c r="B19" s="264"/>
      <c r="C19" s="252"/>
      <c r="D19" s="252"/>
    </row>
    <row r="20" spans="1:4" ht="20.149999999999999" customHeight="1" x14ac:dyDescent="0.35">
      <c r="A20" s="264" t="s">
        <v>1604</v>
      </c>
      <c r="B20" s="264"/>
      <c r="C20" s="252"/>
      <c r="D20" s="252"/>
    </row>
    <row r="21" spans="1:4" ht="20.149999999999999" customHeight="1" x14ac:dyDescent="0.35">
      <c r="A21" s="264" t="s">
        <v>1605</v>
      </c>
      <c r="B21" s="264"/>
      <c r="C21" s="252"/>
      <c r="D21" s="252"/>
    </row>
    <row r="22" spans="1:4" ht="20.149999999999999" customHeight="1" x14ac:dyDescent="0.35">
      <c r="A22" s="264" t="s">
        <v>1606</v>
      </c>
      <c r="B22" s="264"/>
      <c r="C22" s="252"/>
      <c r="D22" s="252"/>
    </row>
    <row r="23" spans="1:4" ht="20.149999999999999" customHeight="1" x14ac:dyDescent="0.35">
      <c r="A23" s="264" t="s">
        <v>1607</v>
      </c>
      <c r="B23" s="264"/>
      <c r="C23" s="252"/>
      <c r="D23" s="252"/>
    </row>
    <row r="24" spans="1:4" ht="20.149999999999999" customHeight="1" x14ac:dyDescent="0.35">
      <c r="A24" s="266" t="s">
        <v>1608</v>
      </c>
      <c r="B24" s="266"/>
      <c r="C24" s="252"/>
      <c r="D24" s="252"/>
    </row>
    <row r="25" spans="1:4" ht="20.149999999999999" customHeight="1" x14ac:dyDescent="0.35">
      <c r="A25" s="266" t="s">
        <v>1609</v>
      </c>
      <c r="B25" s="266" t="s">
        <v>3381</v>
      </c>
      <c r="C25" s="252"/>
      <c r="D25" s="252" t="s">
        <v>3382</v>
      </c>
    </row>
    <row r="26" spans="1:4" ht="20.149999999999999" customHeight="1" x14ac:dyDescent="0.35">
      <c r="A26" s="266" t="s">
        <v>1610</v>
      </c>
      <c r="B26" s="266"/>
      <c r="C26" s="252"/>
      <c r="D26" s="252"/>
    </row>
    <row r="27" spans="1:4" ht="20.149999999999999" customHeight="1" x14ac:dyDescent="0.35">
      <c r="A27" s="266" t="s">
        <v>1611</v>
      </c>
      <c r="B27" s="266"/>
      <c r="C27" s="252"/>
      <c r="D27" s="252"/>
    </row>
    <row r="28" spans="1:4" ht="20.149999999999999" customHeight="1" x14ac:dyDescent="0.35">
      <c r="A28" s="266" t="s">
        <v>1612</v>
      </c>
      <c r="B28" s="266"/>
      <c r="C28" s="252"/>
      <c r="D28" s="252"/>
    </row>
    <row r="29" spans="1:4" ht="20.149999999999999" customHeight="1" x14ac:dyDescent="0.35">
      <c r="A29" s="266" t="s">
        <v>1613</v>
      </c>
      <c r="B29" s="266"/>
      <c r="C29" s="252"/>
      <c r="D29" s="252"/>
    </row>
    <row r="30" spans="1:4" ht="20.149999999999999" customHeight="1" x14ac:dyDescent="0.35">
      <c r="A30" s="266" t="s">
        <v>1614</v>
      </c>
      <c r="B30" s="266"/>
      <c r="C30" s="252"/>
      <c r="D30" s="252"/>
    </row>
    <row r="31" spans="1:4" ht="20.149999999999999" customHeight="1" x14ac:dyDescent="0.35">
      <c r="A31" s="266" t="s">
        <v>1615</v>
      </c>
      <c r="B31" s="266"/>
      <c r="C31" s="252"/>
      <c r="D31" s="252"/>
    </row>
    <row r="32" spans="1:4" ht="20.149999999999999" customHeight="1" x14ac:dyDescent="0.35">
      <c r="A32" s="266" t="s">
        <v>1616</v>
      </c>
      <c r="B32" s="266"/>
      <c r="C32" s="252"/>
      <c r="D32" s="252"/>
    </row>
    <row r="33" spans="1:4" ht="20.149999999999999" customHeight="1" x14ac:dyDescent="0.35">
      <c r="A33" s="266" t="s">
        <v>1617</v>
      </c>
      <c r="B33" s="266"/>
      <c r="C33" s="252"/>
      <c r="D33" s="252"/>
    </row>
    <row r="34" spans="1:4" ht="20.149999999999999" customHeight="1" x14ac:dyDescent="0.35">
      <c r="A34" s="266" t="s">
        <v>1618</v>
      </c>
      <c r="B34" s="266"/>
      <c r="C34" s="252"/>
      <c r="D34" s="252"/>
    </row>
    <row r="35" spans="1:4" ht="20.149999999999999" customHeight="1" x14ac:dyDescent="0.35">
      <c r="A35" s="266" t="s">
        <v>1619</v>
      </c>
      <c r="B35" s="266"/>
      <c r="C35" s="252"/>
      <c r="D35" s="252"/>
    </row>
    <row r="36" spans="1:4" ht="20.149999999999999" customHeight="1" x14ac:dyDescent="0.35">
      <c r="A36" s="266" t="s">
        <v>1620</v>
      </c>
      <c r="B36" s="266"/>
      <c r="C36" s="252"/>
      <c r="D36" s="252"/>
    </row>
    <row r="37" spans="1:4" ht="20.149999999999999" customHeight="1" x14ac:dyDescent="0.35">
      <c r="A37" s="266" t="s">
        <v>1621</v>
      </c>
      <c r="B37" s="266"/>
      <c r="C37" s="252"/>
      <c r="D37" s="252"/>
    </row>
    <row r="38" spans="1:4" ht="20.149999999999999" customHeight="1" x14ac:dyDescent="0.35">
      <c r="A38" s="266" t="s">
        <v>1622</v>
      </c>
      <c r="B38" s="266"/>
      <c r="C38" s="252"/>
      <c r="D38" s="252"/>
    </row>
    <row r="39" spans="1:4" ht="20.149999999999999" customHeight="1" x14ac:dyDescent="0.35">
      <c r="A39" s="266" t="s">
        <v>1623</v>
      </c>
      <c r="B39" s="266"/>
      <c r="C39" s="252"/>
      <c r="D39" s="252"/>
    </row>
    <row r="40" spans="1:4" ht="20.149999999999999" customHeight="1" x14ac:dyDescent="0.35">
      <c r="A40" s="266" t="s">
        <v>1624</v>
      </c>
      <c r="B40" s="266"/>
      <c r="C40" s="252"/>
      <c r="D40" s="252"/>
    </row>
    <row r="41" spans="1:4" ht="20.149999999999999" customHeight="1" x14ac:dyDescent="0.35">
      <c r="A41" s="266" t="s">
        <v>1625</v>
      </c>
      <c r="B41" s="266"/>
      <c r="C41" s="252"/>
      <c r="D41" s="252"/>
    </row>
    <row r="42" spans="1:4" x14ac:dyDescent="0.35">
      <c r="A42" s="266" t="s">
        <v>1626</v>
      </c>
      <c r="B42" s="266"/>
      <c r="C42" s="252"/>
      <c r="D42" s="252"/>
    </row>
    <row r="43" spans="1:4" x14ac:dyDescent="0.35">
      <c r="A43" s="266" t="s">
        <v>1627</v>
      </c>
      <c r="B43" s="266"/>
      <c r="C43" s="252"/>
      <c r="D43" s="252"/>
    </row>
    <row r="44" spans="1:4" x14ac:dyDescent="0.35">
      <c r="A44" s="266" t="s">
        <v>1628</v>
      </c>
      <c r="B44" s="266"/>
      <c r="C44" s="252"/>
      <c r="D44" s="252"/>
    </row>
    <row r="45" spans="1:4" x14ac:dyDescent="0.35">
      <c r="A45" s="266" t="s">
        <v>1629</v>
      </c>
      <c r="B45" s="266"/>
      <c r="C45" s="252"/>
      <c r="D45" s="252"/>
    </row>
    <row r="46" spans="1:4" x14ac:dyDescent="0.35">
      <c r="A46" s="266" t="s">
        <v>1630</v>
      </c>
      <c r="B46" s="266"/>
      <c r="C46" s="252"/>
      <c r="D46" s="252"/>
    </row>
    <row r="47" spans="1:4" x14ac:dyDescent="0.35">
      <c r="A47" s="266" t="s">
        <v>1631</v>
      </c>
      <c r="B47" s="266"/>
      <c r="C47" s="252"/>
      <c r="D47" s="252"/>
    </row>
    <row r="48" spans="1:4" x14ac:dyDescent="0.35">
      <c r="A48" s="266" t="s">
        <v>1632</v>
      </c>
      <c r="B48" s="266"/>
      <c r="C48" s="252"/>
      <c r="D48" s="252"/>
    </row>
    <row r="49" spans="1:4" x14ac:dyDescent="0.35">
      <c r="A49" s="266" t="s">
        <v>1633</v>
      </c>
      <c r="B49" s="266"/>
      <c r="C49" s="252"/>
      <c r="D49" s="252"/>
    </row>
    <row r="50" spans="1:4" x14ac:dyDescent="0.35">
      <c r="A50" s="266" t="s">
        <v>1634</v>
      </c>
      <c r="B50" s="266"/>
      <c r="C50" s="252"/>
      <c r="D50" s="252"/>
    </row>
    <row r="51" spans="1:4" x14ac:dyDescent="0.35">
      <c r="A51" s="266" t="s">
        <v>1635</v>
      </c>
      <c r="B51" s="266"/>
      <c r="C51" s="252"/>
      <c r="D51" s="252"/>
    </row>
    <row r="52" spans="1:4" x14ac:dyDescent="0.35">
      <c r="A52" s="266" t="s">
        <v>1636</v>
      </c>
      <c r="B52" s="266"/>
      <c r="C52" s="252"/>
      <c r="D52" s="252"/>
    </row>
    <row r="53" spans="1:4" x14ac:dyDescent="0.35">
      <c r="A53" s="266" t="s">
        <v>1637</v>
      </c>
      <c r="B53" s="266"/>
      <c r="C53" s="252"/>
      <c r="D53" s="252"/>
    </row>
    <row r="54" spans="1:4" x14ac:dyDescent="0.35">
      <c r="A54" s="266" t="s">
        <v>1638</v>
      </c>
      <c r="B54" s="266"/>
      <c r="C54" s="252"/>
      <c r="D54" s="252"/>
    </row>
    <row r="55" spans="1:4" x14ac:dyDescent="0.35">
      <c r="A55" s="266" t="s">
        <v>1639</v>
      </c>
      <c r="B55" s="266"/>
      <c r="C55" s="252"/>
      <c r="D55" s="252"/>
    </row>
    <row r="56" spans="1:4" x14ac:dyDescent="0.35">
      <c r="A56" s="266" t="s">
        <v>1640</v>
      </c>
      <c r="B56" s="266"/>
      <c r="C56" s="252"/>
      <c r="D56" s="252"/>
    </row>
    <row r="57" spans="1:4" x14ac:dyDescent="0.35">
      <c r="A57" s="266" t="s">
        <v>1641</v>
      </c>
      <c r="B57" s="266"/>
      <c r="C57" s="252"/>
      <c r="D57" s="252"/>
    </row>
    <row r="58" spans="1:4" x14ac:dyDescent="0.35">
      <c r="A58" s="266" t="s">
        <v>1642</v>
      </c>
      <c r="B58" s="266"/>
      <c r="C58" s="252"/>
      <c r="D58" s="252"/>
    </row>
    <row r="59" spans="1:4" x14ac:dyDescent="0.35">
      <c r="A59" s="266" t="s">
        <v>1643</v>
      </c>
      <c r="B59" s="266"/>
      <c r="C59" s="252"/>
      <c r="D59" s="252"/>
    </row>
    <row r="60" spans="1:4" x14ac:dyDescent="0.35">
      <c r="A60" s="266" t="s">
        <v>1644</v>
      </c>
      <c r="B60" s="266"/>
      <c r="C60" s="252"/>
      <c r="D60" s="252"/>
    </row>
    <row r="61" spans="1:4" x14ac:dyDescent="0.35">
      <c r="A61" s="266" t="s">
        <v>1645</v>
      </c>
      <c r="B61" s="266"/>
      <c r="C61" s="252"/>
      <c r="D61" s="252"/>
    </row>
    <row r="62" spans="1:4" x14ac:dyDescent="0.35">
      <c r="A62" s="266" t="s">
        <v>1646</v>
      </c>
      <c r="B62" s="266"/>
      <c r="C62" s="252"/>
      <c r="D62" s="252"/>
    </row>
    <row r="63" spans="1:4" x14ac:dyDescent="0.35">
      <c r="A63" s="266" t="s">
        <v>1647</v>
      </c>
      <c r="B63" s="266"/>
      <c r="C63" s="252"/>
      <c r="D63" s="252"/>
    </row>
    <row r="64" spans="1:4" x14ac:dyDescent="0.35">
      <c r="A64" s="266" t="s">
        <v>1648</v>
      </c>
      <c r="B64" s="266"/>
      <c r="C64" s="252"/>
      <c r="D64" s="252"/>
    </row>
    <row r="65" spans="1:4" x14ac:dyDescent="0.35">
      <c r="A65" s="266" t="s">
        <v>1649</v>
      </c>
      <c r="B65" s="266"/>
      <c r="C65" s="252"/>
      <c r="D65" s="252"/>
    </row>
    <row r="66" spans="1:4" x14ac:dyDescent="0.35">
      <c r="A66" s="266" t="s">
        <v>1650</v>
      </c>
      <c r="B66" s="266"/>
      <c r="C66" s="252"/>
      <c r="D66" s="252"/>
    </row>
    <row r="67" spans="1:4" x14ac:dyDescent="0.35">
      <c r="A67" s="266" t="s">
        <v>1651</v>
      </c>
      <c r="B67" s="266"/>
      <c r="C67" s="252"/>
      <c r="D67" s="252"/>
    </row>
    <row r="68" spans="1:4" x14ac:dyDescent="0.35">
      <c r="A68" s="266" t="s">
        <v>1652</v>
      </c>
      <c r="B68" s="266"/>
      <c r="C68" s="252"/>
      <c r="D68" s="252"/>
    </row>
    <row r="69" spans="1:4" x14ac:dyDescent="0.35">
      <c r="A69" s="266" t="s">
        <v>1653</v>
      </c>
      <c r="B69" s="266"/>
      <c r="C69" s="252"/>
      <c r="D69" s="252"/>
    </row>
    <row r="70" spans="1:4" x14ac:dyDescent="0.35">
      <c r="A70" s="266" t="s">
        <v>1654</v>
      </c>
      <c r="B70" s="266"/>
      <c r="C70" s="252"/>
      <c r="D70" s="252"/>
    </row>
    <row r="71" spans="1:4" x14ac:dyDescent="0.35">
      <c r="A71" s="266" t="s">
        <v>1655</v>
      </c>
      <c r="B71" s="266"/>
      <c r="C71" s="252"/>
      <c r="D71" s="252"/>
    </row>
    <row r="72" spans="1:4" x14ac:dyDescent="0.35">
      <c r="A72" s="266" t="s">
        <v>1656</v>
      </c>
      <c r="B72" s="266"/>
      <c r="C72" s="252"/>
      <c r="D72" s="252"/>
    </row>
    <row r="73" spans="1:4" x14ac:dyDescent="0.35">
      <c r="A73" s="266" t="s">
        <v>1657</v>
      </c>
      <c r="B73" s="266"/>
      <c r="C73" s="252"/>
      <c r="D73" s="252"/>
    </row>
    <row r="74" spans="1:4" x14ac:dyDescent="0.35">
      <c r="A74" s="266" t="s">
        <v>1658</v>
      </c>
      <c r="B74" s="266"/>
      <c r="C74" s="252"/>
      <c r="D74" s="252"/>
    </row>
    <row r="75" spans="1:4" x14ac:dyDescent="0.35">
      <c r="A75" s="266" t="s">
        <v>1659</v>
      </c>
      <c r="B75" s="266"/>
      <c r="C75" s="252"/>
      <c r="D75" s="252"/>
    </row>
    <row r="76" spans="1:4" x14ac:dyDescent="0.35">
      <c r="A76" s="266" t="s">
        <v>1660</v>
      </c>
      <c r="B76" s="266"/>
      <c r="C76" s="252"/>
      <c r="D76" s="252"/>
    </row>
    <row r="77" spans="1:4" x14ac:dyDescent="0.35">
      <c r="A77" s="266" t="s">
        <v>1661</v>
      </c>
      <c r="B77" s="266"/>
      <c r="C77" s="252"/>
      <c r="D77" s="252"/>
    </row>
    <row r="78" spans="1:4" x14ac:dyDescent="0.35">
      <c r="A78" s="266" t="s">
        <v>1662</v>
      </c>
      <c r="B78" s="266"/>
      <c r="C78" s="252"/>
      <c r="D78" s="252"/>
    </row>
    <row r="79" spans="1:4" x14ac:dyDescent="0.35">
      <c r="A79" s="266" t="s">
        <v>1663</v>
      </c>
      <c r="B79" s="266"/>
      <c r="C79" s="252"/>
      <c r="D79" s="252"/>
    </row>
    <row r="80" spans="1:4" x14ac:dyDescent="0.35">
      <c r="A80" s="266" t="s">
        <v>1664</v>
      </c>
      <c r="B80" s="266"/>
      <c r="C80" s="252"/>
      <c r="D80" s="252"/>
    </row>
    <row r="81" spans="1:4" x14ac:dyDescent="0.35">
      <c r="A81" s="266" t="s">
        <v>1665</v>
      </c>
      <c r="B81" s="266"/>
      <c r="C81" s="252"/>
      <c r="D81" s="252"/>
    </row>
    <row r="82" spans="1:4" x14ac:dyDescent="0.35">
      <c r="A82" s="266" t="s">
        <v>1666</v>
      </c>
      <c r="B82" s="266"/>
      <c r="C82" s="252"/>
      <c r="D82" s="252"/>
    </row>
    <row r="83" spans="1:4" x14ac:dyDescent="0.35">
      <c r="A83" s="266" t="s">
        <v>1667</v>
      </c>
      <c r="B83" s="266"/>
      <c r="C83" s="252"/>
      <c r="D83" s="252"/>
    </row>
    <row r="84" spans="1:4" x14ac:dyDescent="0.35">
      <c r="A84" s="266" t="s">
        <v>1668</v>
      </c>
      <c r="B84" s="266"/>
      <c r="C84" s="252"/>
      <c r="D84" s="252"/>
    </row>
    <row r="85" spans="1:4" x14ac:dyDescent="0.35">
      <c r="A85" s="266" t="s">
        <v>1669</v>
      </c>
      <c r="B85" s="266"/>
      <c r="C85" s="252"/>
      <c r="D85" s="252"/>
    </row>
    <row r="86" spans="1:4" x14ac:dyDescent="0.35">
      <c r="A86" s="266" t="s">
        <v>1670</v>
      </c>
      <c r="B86" s="266"/>
      <c r="C86" s="252"/>
      <c r="D86" s="252"/>
    </row>
    <row r="87" spans="1:4" x14ac:dyDescent="0.35">
      <c r="A87" s="266" t="s">
        <v>1671</v>
      </c>
      <c r="B87" s="266"/>
      <c r="C87" s="252"/>
      <c r="D87" s="252"/>
    </row>
    <row r="88" spans="1:4" x14ac:dyDescent="0.35">
      <c r="A88" s="266" t="s">
        <v>1672</v>
      </c>
      <c r="B88" s="266"/>
      <c r="C88" s="252"/>
      <c r="D88" s="252"/>
    </row>
    <row r="89" spans="1:4" x14ac:dyDescent="0.35">
      <c r="A89" s="266" t="s">
        <v>1673</v>
      </c>
      <c r="B89" s="266"/>
      <c r="C89" s="252"/>
      <c r="D89" s="252"/>
    </row>
    <row r="90" spans="1:4" x14ac:dyDescent="0.35">
      <c r="A90" s="266" t="s">
        <v>1674</v>
      </c>
      <c r="B90" s="266"/>
      <c r="C90" s="252"/>
      <c r="D90" s="252"/>
    </row>
    <row r="91" spans="1:4" x14ac:dyDescent="0.35">
      <c r="A91" s="266" t="s">
        <v>1675</v>
      </c>
      <c r="B91" s="266"/>
      <c r="C91" s="252"/>
      <c r="D91" s="252"/>
    </row>
    <row r="92" spans="1:4" x14ac:dyDescent="0.35">
      <c r="A92" s="266" t="s">
        <v>1676</v>
      </c>
      <c r="B92" s="266"/>
      <c r="C92" s="252"/>
      <c r="D92" s="252"/>
    </row>
    <row r="93" spans="1:4" x14ac:dyDescent="0.35">
      <c r="A93" s="266" t="s">
        <v>1677</v>
      </c>
      <c r="B93" s="266"/>
      <c r="C93" s="252"/>
      <c r="D93" s="252"/>
    </row>
    <row r="94" spans="1:4" x14ac:dyDescent="0.35">
      <c r="A94" s="266" t="s">
        <v>1678</v>
      </c>
      <c r="B94" s="266"/>
      <c r="C94" s="252"/>
      <c r="D94" s="252"/>
    </row>
    <row r="95" spans="1:4" x14ac:dyDescent="0.35">
      <c r="A95" s="266" t="s">
        <v>1679</v>
      </c>
      <c r="B95" s="266"/>
      <c r="C95" s="252"/>
      <c r="D95" s="252"/>
    </row>
    <row r="96" spans="1:4" x14ac:dyDescent="0.35">
      <c r="A96" s="266" t="s">
        <v>1680</v>
      </c>
      <c r="B96" s="266"/>
      <c r="C96" s="252"/>
      <c r="D96" s="252"/>
    </row>
    <row r="97" spans="1:4" x14ac:dyDescent="0.35">
      <c r="A97" s="266" t="s">
        <v>1681</v>
      </c>
      <c r="B97" s="266"/>
      <c r="C97" s="252"/>
      <c r="D97" s="252"/>
    </row>
    <row r="98" spans="1:4" x14ac:dyDescent="0.35">
      <c r="A98" s="266" t="s">
        <v>1682</v>
      </c>
      <c r="B98" s="266"/>
      <c r="C98" s="252"/>
      <c r="D98" s="252"/>
    </row>
    <row r="99" spans="1:4" x14ac:dyDescent="0.35">
      <c r="A99" s="266" t="s">
        <v>1683</v>
      </c>
      <c r="B99" s="266"/>
      <c r="C99" s="252"/>
      <c r="D99" s="252"/>
    </row>
    <row r="100" spans="1:4" x14ac:dyDescent="0.35">
      <c r="A100" s="266" t="s">
        <v>1684</v>
      </c>
      <c r="B100" s="266"/>
      <c r="C100" s="252"/>
      <c r="D100" s="252"/>
    </row>
    <row r="101" spans="1:4" x14ac:dyDescent="0.35">
      <c r="A101" s="252" t="s">
        <v>1685</v>
      </c>
      <c r="B101" s="252"/>
      <c r="C101" s="252"/>
      <c r="D101" s="252"/>
    </row>
    <row r="102" spans="1:4" x14ac:dyDescent="0.35">
      <c r="A102" s="252" t="s">
        <v>1686</v>
      </c>
      <c r="B102" s="252"/>
      <c r="C102" s="252"/>
      <c r="D102" s="252"/>
    </row>
    <row r="103" spans="1:4" x14ac:dyDescent="0.35">
      <c r="A103" s="252" t="s">
        <v>1687</v>
      </c>
      <c r="B103" s="252"/>
      <c r="C103" s="252"/>
      <c r="D103" s="252"/>
    </row>
    <row r="104" spans="1:4" x14ac:dyDescent="0.35">
      <c r="A104" s="252" t="s">
        <v>1688</v>
      </c>
      <c r="B104" s="252"/>
      <c r="C104" s="252"/>
      <c r="D104" s="252"/>
    </row>
    <row r="105" spans="1:4" x14ac:dyDescent="0.35">
      <c r="A105" s="252" t="s">
        <v>1689</v>
      </c>
      <c r="B105" s="252"/>
      <c r="C105" s="252"/>
      <c r="D105" s="252"/>
    </row>
    <row r="106" spans="1:4" x14ac:dyDescent="0.35">
      <c r="A106" s="252" t="s">
        <v>1690</v>
      </c>
      <c r="B106" s="252"/>
      <c r="C106" s="252"/>
      <c r="D106" s="252"/>
    </row>
    <row r="107" spans="1:4" x14ac:dyDescent="0.35">
      <c r="A107" s="252" t="s">
        <v>1691</v>
      </c>
      <c r="B107" s="252"/>
      <c r="C107" s="252"/>
      <c r="D107" s="252"/>
    </row>
    <row r="108" spans="1:4" x14ac:dyDescent="0.35">
      <c r="A108" s="252" t="s">
        <v>1692</v>
      </c>
      <c r="B108" s="252"/>
      <c r="C108" s="252"/>
      <c r="D108" s="252"/>
    </row>
    <row r="109" spans="1:4" x14ac:dyDescent="0.35">
      <c r="A109" s="252" t="s">
        <v>1693</v>
      </c>
      <c r="B109" s="252"/>
      <c r="C109" s="252"/>
      <c r="D109" s="252"/>
    </row>
    <row r="110" spans="1:4" x14ac:dyDescent="0.35">
      <c r="A110" s="252" t="s">
        <v>1694</v>
      </c>
      <c r="B110" s="252"/>
      <c r="C110" s="252"/>
      <c r="D110" s="252"/>
    </row>
    <row r="111" spans="1:4" x14ac:dyDescent="0.35">
      <c r="A111" s="252" t="s">
        <v>1695</v>
      </c>
      <c r="B111" s="252"/>
      <c r="C111" s="252"/>
      <c r="D111" s="252"/>
    </row>
    <row r="112" spans="1:4" x14ac:dyDescent="0.35">
      <c r="A112" s="252" t="s">
        <v>1696</v>
      </c>
      <c r="B112" s="252"/>
      <c r="C112" s="252"/>
      <c r="D112" s="252"/>
    </row>
    <row r="113" spans="1:4" x14ac:dyDescent="0.35">
      <c r="A113" s="252" t="s">
        <v>1697</v>
      </c>
      <c r="B113" s="252"/>
      <c r="C113" s="252"/>
      <c r="D113" s="252"/>
    </row>
    <row r="114" spans="1:4" x14ac:dyDescent="0.35">
      <c r="A114" s="252" t="s">
        <v>1698</v>
      </c>
      <c r="B114" s="252"/>
      <c r="C114" s="252"/>
      <c r="D114" s="252"/>
    </row>
    <row r="115" spans="1:4" x14ac:dyDescent="0.35">
      <c r="A115" s="252" t="s">
        <v>1699</v>
      </c>
      <c r="B115" s="252"/>
      <c r="C115" s="252"/>
      <c r="D115" s="252"/>
    </row>
    <row r="116" spans="1:4" x14ac:dyDescent="0.35">
      <c r="A116" s="252" t="s">
        <v>1700</v>
      </c>
      <c r="B116" s="252"/>
      <c r="C116" s="252"/>
      <c r="D116" s="252"/>
    </row>
    <row r="117" spans="1:4" x14ac:dyDescent="0.35">
      <c r="A117" s="252" t="s">
        <v>1701</v>
      </c>
      <c r="B117" s="252"/>
      <c r="C117" s="252"/>
      <c r="D117" s="252"/>
    </row>
    <row r="118" spans="1:4" x14ac:dyDescent="0.35">
      <c r="A118" s="252" t="s">
        <v>1702</v>
      </c>
      <c r="B118" s="252"/>
      <c r="C118" s="252"/>
      <c r="D118" s="252"/>
    </row>
    <row r="119" spans="1:4" x14ac:dyDescent="0.35">
      <c r="A119" s="252" t="s">
        <v>1703</v>
      </c>
      <c r="B119" s="252"/>
      <c r="C119" s="252"/>
      <c r="D119" s="252"/>
    </row>
    <row r="120" spans="1:4" x14ac:dyDescent="0.35">
      <c r="A120" s="252" t="s">
        <v>1704</v>
      </c>
      <c r="B120" s="252"/>
      <c r="C120" s="252"/>
      <c r="D120" s="252"/>
    </row>
    <row r="121" spans="1:4" x14ac:dyDescent="0.35">
      <c r="A121" s="252" t="s">
        <v>1705</v>
      </c>
      <c r="B121" s="252"/>
      <c r="C121" s="252"/>
      <c r="D121" s="252"/>
    </row>
    <row r="122" spans="1:4" x14ac:dyDescent="0.35">
      <c r="A122" s="252" t="s">
        <v>1706</v>
      </c>
      <c r="B122" s="252"/>
      <c r="C122" s="252"/>
      <c r="D122" s="252"/>
    </row>
    <row r="123" spans="1:4" x14ac:dyDescent="0.35">
      <c r="A123" s="252" t="s">
        <v>1707</v>
      </c>
      <c r="B123" s="252"/>
      <c r="C123" s="252"/>
      <c r="D123" s="252"/>
    </row>
    <row r="124" spans="1:4" x14ac:dyDescent="0.35">
      <c r="A124" s="252" t="s">
        <v>1708</v>
      </c>
      <c r="B124" s="252"/>
      <c r="C124" s="252"/>
      <c r="D124" s="252"/>
    </row>
    <row r="125" spans="1:4" x14ac:dyDescent="0.35">
      <c r="A125" s="252" t="s">
        <v>1709</v>
      </c>
      <c r="B125" s="252"/>
      <c r="C125" s="252"/>
      <c r="D125" s="252"/>
    </row>
    <row r="126" spans="1:4" x14ac:dyDescent="0.35">
      <c r="A126" s="252" t="s">
        <v>1710</v>
      </c>
      <c r="B126" s="252"/>
      <c r="C126" s="252"/>
      <c r="D126" s="252"/>
    </row>
    <row r="127" spans="1:4" x14ac:dyDescent="0.35">
      <c r="A127" s="252" t="s">
        <v>1711</v>
      </c>
      <c r="B127" s="252"/>
      <c r="C127" s="252"/>
      <c r="D127" s="252"/>
    </row>
    <row r="128" spans="1:4" x14ac:dyDescent="0.35">
      <c r="A128" s="252" t="s">
        <v>1712</v>
      </c>
      <c r="B128" s="252"/>
      <c r="C128" s="252"/>
      <c r="D128" s="252"/>
    </row>
    <row r="129" spans="1:4" x14ac:dyDescent="0.35">
      <c r="A129" s="252" t="s">
        <v>1713</v>
      </c>
      <c r="B129" s="252"/>
      <c r="C129" s="252"/>
      <c r="D129" s="252"/>
    </row>
    <row r="130" spans="1:4" x14ac:dyDescent="0.35">
      <c r="A130" s="252" t="s">
        <v>1714</v>
      </c>
      <c r="B130" s="252"/>
      <c r="C130" s="252"/>
      <c r="D130" s="252"/>
    </row>
    <row r="131" spans="1:4" x14ac:dyDescent="0.35">
      <c r="A131" s="252" t="s">
        <v>1715</v>
      </c>
      <c r="B131" s="252"/>
      <c r="C131" s="252"/>
      <c r="D131" s="252"/>
    </row>
    <row r="132" spans="1:4" x14ac:dyDescent="0.35">
      <c r="A132" s="252" t="s">
        <v>1716</v>
      </c>
      <c r="B132" s="252"/>
      <c r="C132" s="252"/>
      <c r="D132" s="252"/>
    </row>
    <row r="133" spans="1:4" x14ac:dyDescent="0.35">
      <c r="A133" s="252" t="s">
        <v>1717</v>
      </c>
      <c r="B133" s="252"/>
      <c r="C133" s="252"/>
      <c r="D133" s="252"/>
    </row>
    <row r="134" spans="1:4" x14ac:dyDescent="0.35">
      <c r="A134" s="252" t="s">
        <v>1718</v>
      </c>
      <c r="B134" s="252"/>
      <c r="C134" s="252"/>
      <c r="D134" s="252"/>
    </row>
    <row r="135" spans="1:4" x14ac:dyDescent="0.35">
      <c r="A135" s="252" t="s">
        <v>1719</v>
      </c>
      <c r="B135" s="252"/>
      <c r="C135" s="252"/>
      <c r="D135" s="252"/>
    </row>
    <row r="136" spans="1:4" x14ac:dyDescent="0.35">
      <c r="A136" s="252" t="s">
        <v>1720</v>
      </c>
      <c r="B136" s="252"/>
      <c r="C136" s="252"/>
      <c r="D136" s="252"/>
    </row>
    <row r="137" spans="1:4" x14ac:dyDescent="0.35">
      <c r="A137" s="252" t="s">
        <v>1721</v>
      </c>
      <c r="B137" s="252"/>
      <c r="C137" s="252"/>
      <c r="D137" s="252"/>
    </row>
    <row r="138" spans="1:4" x14ac:dyDescent="0.35">
      <c r="A138" s="252" t="s">
        <v>1722</v>
      </c>
      <c r="B138" s="252"/>
      <c r="C138" s="252"/>
      <c r="D138" s="252"/>
    </row>
    <row r="139" spans="1:4" x14ac:dyDescent="0.35">
      <c r="A139" s="252" t="s">
        <v>1723</v>
      </c>
      <c r="B139" s="252"/>
      <c r="C139" s="252"/>
      <c r="D139" s="252"/>
    </row>
    <row r="140" spans="1:4" x14ac:dyDescent="0.35">
      <c r="A140" s="252" t="s">
        <v>1724</v>
      </c>
      <c r="B140" s="252"/>
      <c r="C140" s="252"/>
      <c r="D140" s="252"/>
    </row>
    <row r="141" spans="1:4" x14ac:dyDescent="0.35">
      <c r="A141" s="252" t="s">
        <v>1725</v>
      </c>
      <c r="B141" s="252"/>
      <c r="C141" s="252"/>
      <c r="D141" s="252"/>
    </row>
    <row r="142" spans="1:4" x14ac:dyDescent="0.35">
      <c r="A142" s="252" t="s">
        <v>1726</v>
      </c>
      <c r="B142" s="252"/>
      <c r="C142" s="252"/>
      <c r="D142" s="252"/>
    </row>
    <row r="143" spans="1:4" x14ac:dyDescent="0.35">
      <c r="A143" s="252" t="s">
        <v>1727</v>
      </c>
      <c r="B143" s="252"/>
      <c r="C143" s="252"/>
      <c r="D143" s="252"/>
    </row>
    <row r="144" spans="1:4" x14ac:dyDescent="0.35">
      <c r="A144" s="252" t="s">
        <v>1728</v>
      </c>
      <c r="B144" s="252"/>
      <c r="C144" s="252"/>
      <c r="D144" s="252"/>
    </row>
    <row r="145" spans="1:4" x14ac:dyDescent="0.35">
      <c r="A145" s="252" t="s">
        <v>1729</v>
      </c>
      <c r="B145" s="252"/>
      <c r="C145" s="252"/>
      <c r="D145" s="252"/>
    </row>
    <row r="146" spans="1:4" x14ac:dyDescent="0.35">
      <c r="A146" s="252" t="s">
        <v>1730</v>
      </c>
      <c r="B146" s="252"/>
      <c r="C146" s="252"/>
      <c r="D146" s="252"/>
    </row>
    <row r="147" spans="1:4" x14ac:dyDescent="0.35">
      <c r="A147" s="252" t="s">
        <v>1731</v>
      </c>
      <c r="B147" s="252"/>
      <c r="C147" s="252"/>
      <c r="D147" s="252"/>
    </row>
    <row r="148" spans="1:4" x14ac:dyDescent="0.35">
      <c r="A148" s="252" t="s">
        <v>1732</v>
      </c>
      <c r="B148" s="252"/>
      <c r="C148" s="252"/>
      <c r="D148" s="252"/>
    </row>
    <row r="149" spans="1:4" x14ac:dyDescent="0.35">
      <c r="A149" s="252" t="s">
        <v>1733</v>
      </c>
      <c r="B149" s="252"/>
      <c r="C149" s="252"/>
      <c r="D149" s="252"/>
    </row>
    <row r="150" spans="1:4" x14ac:dyDescent="0.35">
      <c r="A150" s="252" t="s">
        <v>1734</v>
      </c>
      <c r="B150" s="252"/>
      <c r="C150" s="252"/>
      <c r="D150" s="252"/>
    </row>
    <row r="151" spans="1:4" x14ac:dyDescent="0.35">
      <c r="A151" s="252" t="s">
        <v>1735</v>
      </c>
      <c r="B151" s="252"/>
      <c r="C151" s="252"/>
      <c r="D151" s="252"/>
    </row>
    <row r="152" spans="1:4" x14ac:dyDescent="0.35">
      <c r="A152" s="252" t="s">
        <v>1736</v>
      </c>
      <c r="B152" s="252"/>
      <c r="C152" s="252"/>
      <c r="D152" s="252"/>
    </row>
    <row r="153" spans="1:4" x14ac:dyDescent="0.35">
      <c r="A153" s="252" t="s">
        <v>1737</v>
      </c>
      <c r="B153" s="252"/>
      <c r="C153" s="252"/>
      <c r="D153" s="252"/>
    </row>
    <row r="154" spans="1:4" x14ac:dyDescent="0.35">
      <c r="A154" s="252" t="s">
        <v>1738</v>
      </c>
      <c r="B154" s="252"/>
      <c r="C154" s="252"/>
      <c r="D154" s="252"/>
    </row>
    <row r="155" spans="1:4" x14ac:dyDescent="0.35">
      <c r="A155" s="252" t="s">
        <v>1739</v>
      </c>
      <c r="B155" s="252"/>
      <c r="C155" s="252"/>
      <c r="D155" s="252"/>
    </row>
    <row r="156" spans="1:4" x14ac:dyDescent="0.35">
      <c r="A156" s="252" t="s">
        <v>1740</v>
      </c>
      <c r="B156" s="252"/>
      <c r="C156" s="252"/>
      <c r="D156" s="252"/>
    </row>
    <row r="157" spans="1:4" x14ac:dyDescent="0.35">
      <c r="A157" s="252" t="s">
        <v>1741</v>
      </c>
      <c r="B157" s="252"/>
      <c r="C157" s="252"/>
      <c r="D157" s="252"/>
    </row>
    <row r="158" spans="1:4" x14ac:dyDescent="0.35">
      <c r="A158" s="252" t="s">
        <v>1742</v>
      </c>
      <c r="B158" s="252"/>
      <c r="C158" s="252"/>
      <c r="D158" s="252"/>
    </row>
    <row r="159" spans="1:4" x14ac:dyDescent="0.35">
      <c r="A159" s="252" t="s">
        <v>1743</v>
      </c>
      <c r="B159" s="252"/>
      <c r="C159" s="252"/>
      <c r="D159" s="252"/>
    </row>
    <row r="160" spans="1:4" x14ac:dyDescent="0.35">
      <c r="A160" s="252" t="s">
        <v>1744</v>
      </c>
      <c r="B160" s="252"/>
      <c r="C160" s="252"/>
      <c r="D160" s="252"/>
    </row>
    <row r="161" spans="1:4" x14ac:dyDescent="0.35">
      <c r="A161" s="252" t="s">
        <v>1745</v>
      </c>
      <c r="B161" s="252"/>
      <c r="C161" s="252"/>
      <c r="D161" s="252"/>
    </row>
    <row r="162" spans="1:4" x14ac:dyDescent="0.35">
      <c r="A162" s="252" t="s">
        <v>1746</v>
      </c>
      <c r="B162" s="252"/>
      <c r="C162" s="252"/>
      <c r="D162" s="252"/>
    </row>
    <row r="163" spans="1:4" x14ac:dyDescent="0.35">
      <c r="A163" s="252" t="s">
        <v>1747</v>
      </c>
      <c r="B163" s="252"/>
      <c r="C163" s="252"/>
      <c r="D163" s="252"/>
    </row>
    <row r="164" spans="1:4" x14ac:dyDescent="0.35">
      <c r="A164" s="252" t="s">
        <v>1748</v>
      </c>
      <c r="B164" s="252"/>
      <c r="C164" s="252"/>
      <c r="D164" s="252"/>
    </row>
    <row r="165" spans="1:4" x14ac:dyDescent="0.35">
      <c r="A165" s="252" t="s">
        <v>1749</v>
      </c>
      <c r="B165" s="252"/>
      <c r="C165" s="252"/>
      <c r="D165" s="252"/>
    </row>
    <row r="166" spans="1:4" x14ac:dyDescent="0.35">
      <c r="A166" s="252" t="s">
        <v>1750</v>
      </c>
      <c r="B166" s="252"/>
      <c r="C166" s="252"/>
      <c r="D166" s="252"/>
    </row>
    <row r="167" spans="1:4" x14ac:dyDescent="0.35">
      <c r="A167" s="252" t="s">
        <v>1751</v>
      </c>
      <c r="B167" s="252"/>
      <c r="C167" s="252"/>
      <c r="D167" s="252"/>
    </row>
    <row r="168" spans="1:4" x14ac:dyDescent="0.35">
      <c r="A168" s="252" t="s">
        <v>1752</v>
      </c>
      <c r="B168" s="252"/>
      <c r="C168" s="252"/>
      <c r="D168" s="252"/>
    </row>
    <row r="169" spans="1:4" x14ac:dyDescent="0.35">
      <c r="A169" s="252" t="s">
        <v>1753</v>
      </c>
      <c r="B169" s="252"/>
      <c r="C169" s="252"/>
      <c r="D169" s="252"/>
    </row>
    <row r="170" spans="1:4" x14ac:dyDescent="0.35">
      <c r="A170" s="252" t="s">
        <v>1754</v>
      </c>
      <c r="B170" s="252"/>
      <c r="C170" s="252"/>
      <c r="D170" s="252"/>
    </row>
    <row r="171" spans="1:4" x14ac:dyDescent="0.35">
      <c r="A171" s="252" t="s">
        <v>1755</v>
      </c>
      <c r="B171" s="252"/>
      <c r="C171" s="252"/>
      <c r="D171" s="252"/>
    </row>
    <row r="172" spans="1:4" x14ac:dyDescent="0.35">
      <c r="A172" s="252" t="s">
        <v>1756</v>
      </c>
      <c r="B172" s="252"/>
      <c r="C172" s="252"/>
      <c r="D172" s="252"/>
    </row>
    <row r="173" spans="1:4" x14ac:dyDescent="0.35">
      <c r="A173" s="252" t="s">
        <v>1757</v>
      </c>
      <c r="B173" s="252"/>
      <c r="C173" s="252"/>
      <c r="D173" s="252"/>
    </row>
    <row r="174" spans="1:4" x14ac:dyDescent="0.35">
      <c r="A174" s="252" t="s">
        <v>1758</v>
      </c>
      <c r="B174" s="252"/>
      <c r="C174" s="252"/>
      <c r="D174" s="252"/>
    </row>
    <row r="175" spans="1:4" x14ac:dyDescent="0.35">
      <c r="A175" s="252" t="s">
        <v>1759</v>
      </c>
      <c r="B175" s="252"/>
      <c r="C175" s="252"/>
      <c r="D175" s="252"/>
    </row>
    <row r="176" spans="1:4" x14ac:dyDescent="0.35">
      <c r="A176" s="252" t="s">
        <v>1760</v>
      </c>
      <c r="B176" s="252"/>
      <c r="C176" s="252"/>
      <c r="D176" s="252"/>
    </row>
    <row r="177" spans="1:4" x14ac:dyDescent="0.35">
      <c r="A177" s="252" t="s">
        <v>1761</v>
      </c>
      <c r="B177" s="252"/>
      <c r="C177" s="252"/>
      <c r="D177" s="252"/>
    </row>
    <row r="178" spans="1:4" x14ac:dyDescent="0.35">
      <c r="A178" s="252" t="s">
        <v>1762</v>
      </c>
      <c r="B178" s="252"/>
      <c r="C178" s="252"/>
      <c r="D178" s="252"/>
    </row>
    <row r="179" spans="1:4" x14ac:dyDescent="0.35">
      <c r="A179" s="252" t="s">
        <v>1763</v>
      </c>
      <c r="B179" s="252"/>
      <c r="C179" s="252"/>
      <c r="D179" s="252"/>
    </row>
    <row r="180" spans="1:4" x14ac:dyDescent="0.35">
      <c r="A180" s="252" t="s">
        <v>1764</v>
      </c>
      <c r="B180" s="252"/>
      <c r="C180" s="252"/>
      <c r="D180" s="252"/>
    </row>
    <row r="181" spans="1:4" x14ac:dyDescent="0.35">
      <c r="A181" s="252" t="s">
        <v>1765</v>
      </c>
      <c r="B181" s="252"/>
      <c r="C181" s="252"/>
      <c r="D181" s="252"/>
    </row>
    <row r="182" spans="1:4" x14ac:dyDescent="0.35">
      <c r="A182" s="252" t="s">
        <v>1766</v>
      </c>
      <c r="B182" s="252"/>
      <c r="C182" s="252"/>
      <c r="D182" s="252"/>
    </row>
    <row r="183" spans="1:4" x14ac:dyDescent="0.35">
      <c r="A183" s="252" t="s">
        <v>1767</v>
      </c>
      <c r="B183" s="252"/>
      <c r="C183" s="252"/>
      <c r="D183" s="252"/>
    </row>
    <row r="184" spans="1:4" x14ac:dyDescent="0.35">
      <c r="A184" s="252" t="s">
        <v>1768</v>
      </c>
      <c r="B184" s="252"/>
      <c r="C184" s="252"/>
      <c r="D184" s="252"/>
    </row>
    <row r="185" spans="1:4" x14ac:dyDescent="0.35">
      <c r="A185" s="252" t="s">
        <v>1769</v>
      </c>
      <c r="B185" s="252"/>
      <c r="C185" s="252"/>
      <c r="D185" s="252"/>
    </row>
    <row r="186" spans="1:4" x14ac:dyDescent="0.35">
      <c r="A186" s="252" t="s">
        <v>1770</v>
      </c>
      <c r="B186" s="252"/>
      <c r="C186" s="252"/>
      <c r="D186" s="252"/>
    </row>
    <row r="187" spans="1:4" x14ac:dyDescent="0.35">
      <c r="A187" s="252" t="s">
        <v>1771</v>
      </c>
      <c r="B187" s="252"/>
      <c r="C187" s="252"/>
      <c r="D187" s="252"/>
    </row>
    <row r="188" spans="1:4" x14ac:dyDescent="0.35">
      <c r="A188" s="252" t="s">
        <v>1772</v>
      </c>
      <c r="B188" s="252"/>
      <c r="C188" s="252"/>
      <c r="D188" s="252"/>
    </row>
    <row r="189" spans="1:4" x14ac:dyDescent="0.35">
      <c r="A189" s="252" t="s">
        <v>1773</v>
      </c>
      <c r="B189" s="252"/>
      <c r="C189" s="252"/>
      <c r="D189" s="252"/>
    </row>
    <row r="190" spans="1:4" x14ac:dyDescent="0.35">
      <c r="A190" s="252" t="s">
        <v>1774</v>
      </c>
      <c r="B190" s="252"/>
      <c r="C190" s="252"/>
      <c r="D190" s="252"/>
    </row>
    <row r="191" spans="1:4" x14ac:dyDescent="0.35">
      <c r="A191" s="252" t="s">
        <v>1775</v>
      </c>
      <c r="B191" s="252"/>
      <c r="C191" s="252"/>
      <c r="D191" s="252"/>
    </row>
    <row r="192" spans="1:4" x14ac:dyDescent="0.35">
      <c r="A192" s="252" t="s">
        <v>1776</v>
      </c>
      <c r="B192" s="252"/>
      <c r="C192" s="252"/>
      <c r="D192" s="252"/>
    </row>
    <row r="193" spans="1:4" x14ac:dyDescent="0.35">
      <c r="A193" s="252" t="s">
        <v>1777</v>
      </c>
      <c r="B193" s="252"/>
      <c r="C193" s="252"/>
      <c r="D193" s="252"/>
    </row>
    <row r="194" spans="1:4" x14ac:dyDescent="0.35">
      <c r="A194" s="252" t="s">
        <v>1778</v>
      </c>
      <c r="B194" s="252"/>
      <c r="C194" s="252"/>
      <c r="D194" s="252"/>
    </row>
    <row r="195" spans="1:4" x14ac:dyDescent="0.35">
      <c r="A195" s="252" t="s">
        <v>1779</v>
      </c>
      <c r="B195" s="252"/>
      <c r="C195" s="252"/>
      <c r="D195" s="252"/>
    </row>
    <row r="196" spans="1:4" x14ac:dyDescent="0.35">
      <c r="A196" s="252" t="s">
        <v>1780</v>
      </c>
      <c r="B196" s="252"/>
      <c r="C196" s="252"/>
      <c r="D196" s="252"/>
    </row>
    <row r="197" spans="1:4" x14ac:dyDescent="0.35">
      <c r="A197" s="252" t="s">
        <v>1781</v>
      </c>
      <c r="B197" s="252"/>
      <c r="C197" s="252"/>
      <c r="D197" s="252"/>
    </row>
    <row r="198" spans="1:4" x14ac:dyDescent="0.35">
      <c r="A198" s="252" t="s">
        <v>1782</v>
      </c>
      <c r="B198" s="252"/>
      <c r="C198" s="252"/>
      <c r="D198" s="252"/>
    </row>
    <row r="199" spans="1:4" x14ac:dyDescent="0.35">
      <c r="A199" s="252" t="s">
        <v>1783</v>
      </c>
      <c r="B199" s="252"/>
      <c r="C199" s="252"/>
      <c r="D199" s="252"/>
    </row>
    <row r="200" spans="1:4" x14ac:dyDescent="0.35">
      <c r="A200" s="252" t="s">
        <v>1784</v>
      </c>
      <c r="B200" s="252"/>
      <c r="C200" s="252"/>
      <c r="D200" s="252"/>
    </row>
    <row r="201" spans="1:4" x14ac:dyDescent="0.35">
      <c r="A201" s="252" t="s">
        <v>1785</v>
      </c>
      <c r="B201" s="252"/>
      <c r="C201" s="252"/>
      <c r="D201" s="252"/>
    </row>
    <row r="202" spans="1:4" x14ac:dyDescent="0.35">
      <c r="A202" s="252" t="s">
        <v>1786</v>
      </c>
      <c r="B202" s="252" t="s">
        <v>3383</v>
      </c>
      <c r="C202" s="252"/>
      <c r="D202" s="252" t="s">
        <v>3384</v>
      </c>
    </row>
    <row r="203" spans="1:4" x14ac:dyDescent="0.35">
      <c r="A203" s="252" t="s">
        <v>1787</v>
      </c>
      <c r="B203" s="252"/>
      <c r="C203" s="252"/>
      <c r="D203" s="252"/>
    </row>
    <row r="204" spans="1:4" x14ac:dyDescent="0.35">
      <c r="A204" s="252" t="s">
        <v>1788</v>
      </c>
      <c r="B204" s="252"/>
      <c r="C204" s="252"/>
      <c r="D204" s="252"/>
    </row>
    <row r="205" spans="1:4" x14ac:dyDescent="0.35">
      <c r="A205" s="252" t="s">
        <v>1789</v>
      </c>
      <c r="B205" s="252"/>
      <c r="C205" s="252"/>
      <c r="D205" s="252"/>
    </row>
    <row r="206" spans="1:4" x14ac:dyDescent="0.35">
      <c r="A206" s="252" t="s">
        <v>1790</v>
      </c>
      <c r="B206" s="252"/>
      <c r="C206" s="252"/>
      <c r="D206" s="252"/>
    </row>
    <row r="207" spans="1:4" x14ac:dyDescent="0.35">
      <c r="A207" s="252" t="s">
        <v>1791</v>
      </c>
      <c r="B207" s="252"/>
      <c r="C207" s="252"/>
      <c r="D207" s="252"/>
    </row>
    <row r="208" spans="1:4" x14ac:dyDescent="0.35">
      <c r="A208" s="252" t="s">
        <v>1792</v>
      </c>
      <c r="B208" s="252"/>
      <c r="C208" s="252"/>
      <c r="D208" s="252"/>
    </row>
    <row r="209" spans="1:4" x14ac:dyDescent="0.35">
      <c r="A209" s="252" t="s">
        <v>1793</v>
      </c>
      <c r="B209" s="252"/>
      <c r="C209" s="252"/>
      <c r="D209" s="252"/>
    </row>
    <row r="210" spans="1:4" x14ac:dyDescent="0.35">
      <c r="A210" s="252" t="s">
        <v>1794</v>
      </c>
      <c r="B210" s="252"/>
      <c r="C210" s="252"/>
      <c r="D210" s="252"/>
    </row>
    <row r="211" spans="1:4" x14ac:dyDescent="0.35">
      <c r="A211" s="252" t="s">
        <v>1795</v>
      </c>
      <c r="B211" s="252"/>
      <c r="C211" s="252"/>
      <c r="D211" s="252"/>
    </row>
    <row r="212" spans="1:4" x14ac:dyDescent="0.35">
      <c r="A212" s="252" t="s">
        <v>1796</v>
      </c>
      <c r="B212" s="252"/>
      <c r="C212" s="252"/>
      <c r="D212" s="252"/>
    </row>
    <row r="213" spans="1:4" x14ac:dyDescent="0.35">
      <c r="A213" s="252" t="s">
        <v>1797</v>
      </c>
      <c r="B213" s="252"/>
      <c r="C213" s="252"/>
      <c r="D213" s="252"/>
    </row>
    <row r="214" spans="1:4" x14ac:dyDescent="0.35">
      <c r="A214" s="252" t="s">
        <v>1798</v>
      </c>
      <c r="B214" s="252"/>
      <c r="C214" s="252"/>
      <c r="D214" s="252"/>
    </row>
    <row r="215" spans="1:4" x14ac:dyDescent="0.35">
      <c r="A215" s="252" t="s">
        <v>1799</v>
      </c>
      <c r="B215" s="252"/>
      <c r="C215" s="252"/>
      <c r="D215" s="252"/>
    </row>
    <row r="216" spans="1:4" x14ac:dyDescent="0.35">
      <c r="A216" s="252" t="s">
        <v>1800</v>
      </c>
      <c r="B216" s="252"/>
      <c r="C216" s="252"/>
      <c r="D216" s="252"/>
    </row>
    <row r="217" spans="1:4" x14ac:dyDescent="0.35">
      <c r="A217" s="252" t="s">
        <v>1801</v>
      </c>
      <c r="B217" s="252"/>
      <c r="C217" s="252"/>
      <c r="D217" s="252"/>
    </row>
    <row r="218" spans="1:4" x14ac:dyDescent="0.35">
      <c r="A218" s="252" t="s">
        <v>1802</v>
      </c>
      <c r="B218" s="252"/>
      <c r="C218" s="252"/>
      <c r="D218" s="252"/>
    </row>
    <row r="219" spans="1:4" x14ac:dyDescent="0.35">
      <c r="A219" s="252" t="s">
        <v>1803</v>
      </c>
      <c r="B219" s="252"/>
      <c r="C219" s="252"/>
      <c r="D219" s="252"/>
    </row>
    <row r="220" spans="1:4" x14ac:dyDescent="0.35">
      <c r="A220" s="252" t="s">
        <v>1804</v>
      </c>
      <c r="B220" s="252"/>
      <c r="C220" s="252"/>
      <c r="D220" s="252"/>
    </row>
    <row r="221" spans="1:4" x14ac:dyDescent="0.35">
      <c r="A221" s="252" t="s">
        <v>1805</v>
      </c>
      <c r="B221" s="252"/>
      <c r="C221" s="252"/>
      <c r="D221" s="252"/>
    </row>
    <row r="222" spans="1:4" x14ac:dyDescent="0.35">
      <c r="A222" s="252" t="s">
        <v>1806</v>
      </c>
      <c r="B222" s="252"/>
      <c r="C222" s="252"/>
      <c r="D222" s="252"/>
    </row>
    <row r="223" spans="1:4" x14ac:dyDescent="0.35">
      <c r="A223" s="252" t="s">
        <v>1807</v>
      </c>
      <c r="B223" s="252"/>
      <c r="C223" s="252"/>
      <c r="D223" s="252"/>
    </row>
    <row r="224" spans="1:4" x14ac:dyDescent="0.35">
      <c r="A224" s="252" t="s">
        <v>1808</v>
      </c>
      <c r="B224" s="252"/>
      <c r="C224" s="252"/>
      <c r="D224" s="252"/>
    </row>
    <row r="225" spans="1:4" x14ac:dyDescent="0.35">
      <c r="A225" s="252" t="s">
        <v>1809</v>
      </c>
      <c r="B225" s="252"/>
      <c r="C225" s="252"/>
      <c r="D225" s="252"/>
    </row>
    <row r="226" spans="1:4" x14ac:dyDescent="0.35">
      <c r="A226" s="252" t="s">
        <v>1810</v>
      </c>
      <c r="B226" s="252"/>
      <c r="C226" s="252"/>
      <c r="D226" s="252"/>
    </row>
    <row r="227" spans="1:4" x14ac:dyDescent="0.35">
      <c r="A227" s="252" t="s">
        <v>1811</v>
      </c>
      <c r="B227" s="252"/>
      <c r="C227" s="252"/>
      <c r="D227" s="252"/>
    </row>
    <row r="228" spans="1:4" x14ac:dyDescent="0.35">
      <c r="A228" s="252" t="s">
        <v>1812</v>
      </c>
      <c r="B228" s="252"/>
      <c r="C228" s="252"/>
      <c r="D228" s="252"/>
    </row>
    <row r="229" spans="1:4" x14ac:dyDescent="0.35">
      <c r="A229" s="252" t="s">
        <v>1813</v>
      </c>
      <c r="B229" s="252"/>
      <c r="C229" s="252"/>
      <c r="D229" s="252"/>
    </row>
    <row r="230" spans="1:4" x14ac:dyDescent="0.35">
      <c r="A230" s="252" t="s">
        <v>1814</v>
      </c>
      <c r="B230" s="252"/>
      <c r="C230" s="252"/>
      <c r="D230" s="252"/>
    </row>
    <row r="231" spans="1:4" x14ac:dyDescent="0.35">
      <c r="A231" s="252" t="s">
        <v>1815</v>
      </c>
      <c r="B231" s="252"/>
      <c r="C231" s="252"/>
      <c r="D231" s="252"/>
    </row>
    <row r="232" spans="1:4" x14ac:dyDescent="0.35">
      <c r="A232" s="252" t="s">
        <v>1816</v>
      </c>
      <c r="B232" s="252"/>
      <c r="C232" s="252"/>
      <c r="D232" s="252"/>
    </row>
    <row r="233" spans="1:4" x14ac:dyDescent="0.35">
      <c r="A233" s="252" t="s">
        <v>1817</v>
      </c>
      <c r="B233" s="252"/>
      <c r="C233" s="252"/>
      <c r="D233" s="252"/>
    </row>
    <row r="234" spans="1:4" x14ac:dyDescent="0.35">
      <c r="A234" s="252" t="s">
        <v>1818</v>
      </c>
      <c r="B234" s="252"/>
      <c r="C234" s="252"/>
      <c r="D234" s="252"/>
    </row>
    <row r="235" spans="1:4" x14ac:dyDescent="0.35">
      <c r="A235" s="252" t="s">
        <v>1819</v>
      </c>
      <c r="B235" s="252"/>
      <c r="C235" s="252"/>
      <c r="D235" s="252"/>
    </row>
    <row r="236" spans="1:4" x14ac:dyDescent="0.35">
      <c r="A236" s="252" t="s">
        <v>1820</v>
      </c>
      <c r="B236" s="252"/>
      <c r="C236" s="252"/>
      <c r="D236" s="252"/>
    </row>
    <row r="237" spans="1:4" x14ac:dyDescent="0.35">
      <c r="A237" s="252" t="s">
        <v>1821</v>
      </c>
      <c r="B237" s="252"/>
      <c r="C237" s="252"/>
      <c r="D237" s="252"/>
    </row>
    <row r="238" spans="1:4" x14ac:dyDescent="0.35">
      <c r="A238" s="252" t="s">
        <v>1822</v>
      </c>
      <c r="B238" s="252"/>
      <c r="C238" s="252"/>
      <c r="D238" s="252"/>
    </row>
    <row r="239" spans="1:4" x14ac:dyDescent="0.35">
      <c r="A239" s="252" t="s">
        <v>1823</v>
      </c>
      <c r="B239" s="252"/>
      <c r="C239" s="252"/>
      <c r="D239" s="252"/>
    </row>
    <row r="240" spans="1:4" x14ac:dyDescent="0.35">
      <c r="A240" s="252" t="s">
        <v>1824</v>
      </c>
      <c r="B240" s="252"/>
      <c r="C240" s="252"/>
      <c r="D240" s="252"/>
    </row>
    <row r="241" spans="1:4" x14ac:dyDescent="0.35">
      <c r="A241" s="252" t="s">
        <v>1825</v>
      </c>
      <c r="B241" s="252"/>
      <c r="C241" s="252"/>
      <c r="D241" s="252"/>
    </row>
    <row r="242" spans="1:4" x14ac:dyDescent="0.35">
      <c r="A242" s="252" t="s">
        <v>1826</v>
      </c>
      <c r="B242" s="252"/>
      <c r="C242" s="252"/>
      <c r="D242" s="252"/>
    </row>
    <row r="243" spans="1:4" x14ac:dyDescent="0.35">
      <c r="A243" s="252" t="s">
        <v>1827</v>
      </c>
      <c r="B243" s="252"/>
      <c r="C243" s="252"/>
      <c r="D243" s="252"/>
    </row>
    <row r="244" spans="1:4" x14ac:dyDescent="0.35">
      <c r="A244" s="252" t="s">
        <v>1828</v>
      </c>
      <c r="B244" s="252"/>
      <c r="C244" s="252"/>
      <c r="D244" s="252"/>
    </row>
    <row r="245" spans="1:4" x14ac:dyDescent="0.35">
      <c r="A245" s="252" t="s">
        <v>1829</v>
      </c>
      <c r="B245" s="252"/>
      <c r="C245" s="252"/>
      <c r="D245" s="252"/>
    </row>
    <row r="246" spans="1:4" x14ac:dyDescent="0.35">
      <c r="A246" s="252" t="s">
        <v>1830</v>
      </c>
      <c r="B246" s="252"/>
      <c r="C246" s="252"/>
      <c r="D246" s="252"/>
    </row>
    <row r="247" spans="1:4" x14ac:dyDescent="0.35">
      <c r="A247" s="252" t="s">
        <v>1831</v>
      </c>
      <c r="B247" s="252"/>
      <c r="C247" s="252"/>
      <c r="D247" s="252"/>
    </row>
    <row r="248" spans="1:4" x14ac:dyDescent="0.35">
      <c r="A248" s="252" t="s">
        <v>1832</v>
      </c>
      <c r="B248" s="252"/>
      <c r="C248" s="252"/>
      <c r="D248" s="252"/>
    </row>
    <row r="249" spans="1:4" x14ac:dyDescent="0.35">
      <c r="A249" s="252" t="s">
        <v>1833</v>
      </c>
      <c r="B249" s="252"/>
      <c r="C249" s="252"/>
      <c r="D249" s="252"/>
    </row>
    <row r="250" spans="1:4" x14ac:dyDescent="0.35">
      <c r="A250" s="252" t="s">
        <v>1834</v>
      </c>
      <c r="B250" s="252"/>
      <c r="C250" s="252"/>
      <c r="D250" s="252"/>
    </row>
    <row r="251" spans="1:4" x14ac:dyDescent="0.35">
      <c r="A251" s="252" t="s">
        <v>1835</v>
      </c>
      <c r="B251" s="252"/>
      <c r="C251" s="252"/>
      <c r="D251" s="252"/>
    </row>
    <row r="252" spans="1:4" x14ac:dyDescent="0.35">
      <c r="A252" s="252" t="s">
        <v>1836</v>
      </c>
      <c r="B252" s="252"/>
      <c r="C252" s="252"/>
      <c r="D252" s="252"/>
    </row>
    <row r="253" spans="1:4" x14ac:dyDescent="0.35">
      <c r="A253" s="252" t="s">
        <v>1837</v>
      </c>
      <c r="B253" s="252"/>
      <c r="C253" s="252"/>
      <c r="D253" s="252"/>
    </row>
    <row r="254" spans="1:4" x14ac:dyDescent="0.35">
      <c r="A254" s="252" t="s">
        <v>1838</v>
      </c>
      <c r="B254" s="252"/>
      <c r="C254" s="252"/>
      <c r="D254" s="252"/>
    </row>
    <row r="255" spans="1:4" x14ac:dyDescent="0.35">
      <c r="A255" s="252" t="s">
        <v>1839</v>
      </c>
      <c r="B255" s="252"/>
      <c r="C255" s="252"/>
      <c r="D255" s="252"/>
    </row>
    <row r="256" spans="1:4" x14ac:dyDescent="0.35">
      <c r="A256" s="252" t="s">
        <v>1840</v>
      </c>
      <c r="B256" s="252"/>
      <c r="C256" s="252"/>
      <c r="D256" s="252"/>
    </row>
    <row r="257" spans="1:4" x14ac:dyDescent="0.35">
      <c r="A257" s="252" t="s">
        <v>1841</v>
      </c>
      <c r="B257" s="252"/>
      <c r="C257" s="252"/>
      <c r="D257" s="252"/>
    </row>
    <row r="258" spans="1:4" x14ac:dyDescent="0.35">
      <c r="A258" s="252" t="s">
        <v>1842</v>
      </c>
      <c r="B258" s="252"/>
      <c r="C258" s="252"/>
      <c r="D258" s="252"/>
    </row>
    <row r="259" spans="1:4" x14ac:dyDescent="0.35">
      <c r="A259" s="252" t="s">
        <v>1843</v>
      </c>
      <c r="B259" s="252"/>
      <c r="C259" s="252"/>
      <c r="D259" s="252"/>
    </row>
    <row r="260" spans="1:4" x14ac:dyDescent="0.35">
      <c r="A260" s="252" t="s">
        <v>1844</v>
      </c>
      <c r="B260" s="252"/>
      <c r="C260" s="252"/>
      <c r="D260" s="252"/>
    </row>
    <row r="261" spans="1:4" x14ac:dyDescent="0.35">
      <c r="A261" s="252" t="s">
        <v>1845</v>
      </c>
      <c r="B261" s="252"/>
      <c r="C261" s="252"/>
      <c r="D261" s="252"/>
    </row>
    <row r="262" spans="1:4" x14ac:dyDescent="0.35">
      <c r="A262" s="252" t="s">
        <v>1846</v>
      </c>
      <c r="B262" s="252"/>
      <c r="C262" s="252"/>
      <c r="D262" s="252"/>
    </row>
    <row r="263" spans="1:4" x14ac:dyDescent="0.35">
      <c r="A263" s="252" t="s">
        <v>1847</v>
      </c>
      <c r="B263" s="252"/>
      <c r="C263" s="252"/>
      <c r="D263" s="252"/>
    </row>
    <row r="264" spans="1:4" x14ac:dyDescent="0.35">
      <c r="A264" s="252" t="s">
        <v>1848</v>
      </c>
      <c r="B264" s="252"/>
      <c r="C264" s="252"/>
      <c r="D264" s="252"/>
    </row>
    <row r="265" spans="1:4" x14ac:dyDescent="0.35">
      <c r="A265" s="252" t="s">
        <v>1849</v>
      </c>
      <c r="B265" s="252"/>
      <c r="C265" s="252"/>
      <c r="D265" s="252"/>
    </row>
    <row r="266" spans="1:4" x14ac:dyDescent="0.35">
      <c r="A266" s="252" t="s">
        <v>1850</v>
      </c>
      <c r="B266" s="252"/>
      <c r="C266" s="252"/>
      <c r="D266" s="252"/>
    </row>
    <row r="267" spans="1:4" x14ac:dyDescent="0.35">
      <c r="A267" s="252" t="s">
        <v>1851</v>
      </c>
      <c r="B267" s="252"/>
      <c r="C267" s="252"/>
      <c r="D267" s="252"/>
    </row>
    <row r="268" spans="1:4" x14ac:dyDescent="0.35">
      <c r="A268" s="252" t="s">
        <v>1852</v>
      </c>
      <c r="B268" s="252"/>
      <c r="C268" s="252"/>
      <c r="D268" s="252"/>
    </row>
    <row r="269" spans="1:4" x14ac:dyDescent="0.35">
      <c r="A269" s="252" t="s">
        <v>1853</v>
      </c>
      <c r="B269" s="252"/>
      <c r="C269" s="252"/>
      <c r="D269" s="252"/>
    </row>
    <row r="270" spans="1:4" x14ac:dyDescent="0.35">
      <c r="A270" s="252" t="s">
        <v>1854</v>
      </c>
      <c r="B270" s="252"/>
      <c r="C270" s="252"/>
      <c r="D270" s="252"/>
    </row>
    <row r="271" spans="1:4" x14ac:dyDescent="0.35">
      <c r="A271" s="252" t="s">
        <v>1855</v>
      </c>
      <c r="B271" s="252"/>
      <c r="C271" s="252"/>
      <c r="D271" s="252"/>
    </row>
    <row r="272" spans="1:4" x14ac:dyDescent="0.35">
      <c r="A272" s="252" t="s">
        <v>1856</v>
      </c>
      <c r="B272" s="252"/>
      <c r="C272" s="252"/>
      <c r="D272" s="252"/>
    </row>
    <row r="273" spans="1:4" x14ac:dyDescent="0.35">
      <c r="A273" s="252" t="s">
        <v>1857</v>
      </c>
      <c r="B273" s="252"/>
      <c r="C273" s="252"/>
      <c r="D273" s="252"/>
    </row>
    <row r="274" spans="1:4" x14ac:dyDescent="0.35">
      <c r="A274" s="252" t="s">
        <v>1858</v>
      </c>
      <c r="B274" s="252"/>
      <c r="C274" s="252"/>
      <c r="D274" s="252"/>
    </row>
    <row r="275" spans="1:4" x14ac:dyDescent="0.35">
      <c r="A275" s="252" t="s">
        <v>1859</v>
      </c>
      <c r="B275" s="252"/>
      <c r="C275" s="252"/>
      <c r="D275" s="252"/>
    </row>
    <row r="276" spans="1:4" x14ac:dyDescent="0.35">
      <c r="A276" s="252" t="s">
        <v>1860</v>
      </c>
      <c r="B276" s="252"/>
      <c r="C276" s="252"/>
      <c r="D276" s="252"/>
    </row>
    <row r="277" spans="1:4" x14ac:dyDescent="0.35">
      <c r="A277" s="252" t="s">
        <v>1861</v>
      </c>
      <c r="B277" s="252"/>
      <c r="C277" s="252"/>
      <c r="D277" s="252"/>
    </row>
    <row r="278" spans="1:4" x14ac:dyDescent="0.35">
      <c r="A278" s="252" t="s">
        <v>1862</v>
      </c>
      <c r="B278" s="252"/>
      <c r="C278" s="252"/>
      <c r="D278" s="252"/>
    </row>
    <row r="279" spans="1:4" x14ac:dyDescent="0.35">
      <c r="A279" s="252" t="s">
        <v>1863</v>
      </c>
      <c r="B279" s="252"/>
      <c r="C279" s="252"/>
      <c r="D279" s="252"/>
    </row>
    <row r="280" spans="1:4" x14ac:dyDescent="0.35">
      <c r="A280" s="252" t="s">
        <v>1864</v>
      </c>
      <c r="B280" s="252"/>
      <c r="C280" s="252"/>
      <c r="D280" s="252"/>
    </row>
    <row r="281" spans="1:4" x14ac:dyDescent="0.35">
      <c r="A281" s="252" t="s">
        <v>1865</v>
      </c>
      <c r="B281" s="252"/>
      <c r="C281" s="252"/>
      <c r="D281" s="252"/>
    </row>
    <row r="282" spans="1:4" x14ac:dyDescent="0.35">
      <c r="A282" s="252" t="s">
        <v>1866</v>
      </c>
      <c r="B282" s="252"/>
      <c r="C282" s="252"/>
      <c r="D282" s="252"/>
    </row>
    <row r="283" spans="1:4" x14ac:dyDescent="0.35">
      <c r="A283" s="252" t="s">
        <v>1867</v>
      </c>
      <c r="B283" s="252"/>
      <c r="C283" s="252"/>
      <c r="D283" s="252"/>
    </row>
    <row r="284" spans="1:4" x14ac:dyDescent="0.35">
      <c r="A284" s="252" t="s">
        <v>1868</v>
      </c>
      <c r="B284" s="252"/>
      <c r="C284" s="252"/>
      <c r="D284" s="252"/>
    </row>
    <row r="285" spans="1:4" x14ac:dyDescent="0.35">
      <c r="A285" s="252" t="s">
        <v>1869</v>
      </c>
      <c r="B285" s="252"/>
      <c r="C285" s="252"/>
      <c r="D285" s="252"/>
    </row>
    <row r="286" spans="1:4" x14ac:dyDescent="0.35">
      <c r="A286" s="252" t="s">
        <v>1870</v>
      </c>
      <c r="B286" s="252"/>
      <c r="C286" s="252"/>
      <c r="D286" s="252"/>
    </row>
    <row r="287" spans="1:4" x14ac:dyDescent="0.35">
      <c r="A287" s="252" t="s">
        <v>1871</v>
      </c>
      <c r="B287" s="252"/>
      <c r="C287" s="252"/>
      <c r="D287" s="252"/>
    </row>
    <row r="288" spans="1:4" x14ac:dyDescent="0.35">
      <c r="A288" s="252" t="s">
        <v>1872</v>
      </c>
      <c r="B288" s="252"/>
      <c r="C288" s="252"/>
      <c r="D288" s="252"/>
    </row>
    <row r="289" spans="1:4" x14ac:dyDescent="0.35">
      <c r="A289" s="252" t="s">
        <v>1873</v>
      </c>
      <c r="B289" s="252"/>
      <c r="C289" s="252"/>
      <c r="D289" s="252"/>
    </row>
    <row r="290" spans="1:4" x14ac:dyDescent="0.35">
      <c r="A290" s="252" t="s">
        <v>1874</v>
      </c>
      <c r="B290" s="252"/>
      <c r="C290" s="252"/>
      <c r="D290" s="252"/>
    </row>
    <row r="291" spans="1:4" x14ac:dyDescent="0.35">
      <c r="A291" s="252" t="s">
        <v>1875</v>
      </c>
      <c r="B291" s="252"/>
      <c r="C291" s="252"/>
      <c r="D291" s="252"/>
    </row>
    <row r="292" spans="1:4" x14ac:dyDescent="0.35">
      <c r="A292" s="252" t="s">
        <v>1876</v>
      </c>
      <c r="B292" s="252"/>
      <c r="C292" s="252"/>
      <c r="D292" s="252"/>
    </row>
    <row r="293" spans="1:4" x14ac:dyDescent="0.35">
      <c r="A293" s="252" t="s">
        <v>1877</v>
      </c>
      <c r="B293" s="252"/>
      <c r="C293" s="252"/>
      <c r="D293" s="252"/>
    </row>
    <row r="294" spans="1:4" x14ac:dyDescent="0.35">
      <c r="A294" s="252" t="s">
        <v>1878</v>
      </c>
      <c r="B294" s="252"/>
      <c r="C294" s="252"/>
      <c r="D294" s="252"/>
    </row>
    <row r="295" spans="1:4" x14ac:dyDescent="0.35">
      <c r="A295" s="252" t="s">
        <v>1879</v>
      </c>
      <c r="B295" s="252"/>
      <c r="C295" s="252"/>
      <c r="D295" s="252"/>
    </row>
    <row r="296" spans="1:4" x14ac:dyDescent="0.35">
      <c r="A296" s="252" t="s">
        <v>1880</v>
      </c>
      <c r="B296" s="252"/>
      <c r="C296" s="252"/>
      <c r="D296" s="252"/>
    </row>
    <row r="297" spans="1:4" x14ac:dyDescent="0.35">
      <c r="A297" s="252" t="s">
        <v>1881</v>
      </c>
      <c r="B297" s="252"/>
      <c r="C297" s="252"/>
      <c r="D297" s="252"/>
    </row>
    <row r="298" spans="1:4" x14ac:dyDescent="0.35">
      <c r="A298" s="252" t="s">
        <v>1882</v>
      </c>
      <c r="B298" s="252"/>
      <c r="C298" s="252"/>
      <c r="D298" s="252"/>
    </row>
    <row r="299" spans="1:4" x14ac:dyDescent="0.35">
      <c r="A299" s="252" t="s">
        <v>1883</v>
      </c>
      <c r="B299" s="252"/>
      <c r="C299" s="252"/>
      <c r="D299" s="252"/>
    </row>
    <row r="300" spans="1:4" x14ac:dyDescent="0.35">
      <c r="A300" s="252" t="s">
        <v>1884</v>
      </c>
      <c r="B300" s="252"/>
      <c r="C300" s="252"/>
      <c r="D300" s="252"/>
    </row>
    <row r="301" spans="1:4" x14ac:dyDescent="0.35">
      <c r="A301" s="252" t="s">
        <v>1885</v>
      </c>
      <c r="B301" s="252"/>
      <c r="C301" s="252"/>
      <c r="D301" s="252"/>
    </row>
    <row r="302" spans="1:4" x14ac:dyDescent="0.35">
      <c r="A302" s="252" t="s">
        <v>1886</v>
      </c>
      <c r="B302" s="252"/>
      <c r="C302" s="252"/>
      <c r="D302" s="252"/>
    </row>
    <row r="303" spans="1:4" x14ac:dyDescent="0.35">
      <c r="A303" s="252" t="s">
        <v>1887</v>
      </c>
      <c r="B303" s="252"/>
      <c r="C303" s="252"/>
      <c r="D303" s="252"/>
    </row>
    <row r="304" spans="1:4" x14ac:dyDescent="0.35">
      <c r="A304" s="252" t="s">
        <v>1888</v>
      </c>
      <c r="B304" s="252"/>
      <c r="C304" s="252"/>
      <c r="D304" s="252"/>
    </row>
    <row r="305" spans="1:4" x14ac:dyDescent="0.35">
      <c r="A305" s="252" t="s">
        <v>1889</v>
      </c>
      <c r="B305" s="252"/>
      <c r="C305" s="252"/>
      <c r="D305" s="252"/>
    </row>
    <row r="306" spans="1:4" x14ac:dyDescent="0.35">
      <c r="A306" s="252" t="s">
        <v>1890</v>
      </c>
      <c r="B306" s="252"/>
      <c r="C306" s="252"/>
      <c r="D306" s="252"/>
    </row>
    <row r="307" spans="1:4" x14ac:dyDescent="0.35">
      <c r="A307" s="252" t="s">
        <v>1891</v>
      </c>
      <c r="B307" s="252"/>
      <c r="C307" s="252"/>
      <c r="D307" s="252"/>
    </row>
    <row r="308" spans="1:4" x14ac:dyDescent="0.35">
      <c r="A308" s="252" t="s">
        <v>1892</v>
      </c>
      <c r="B308" s="252"/>
      <c r="C308" s="252"/>
      <c r="D308" s="252"/>
    </row>
    <row r="309" spans="1:4" x14ac:dyDescent="0.35">
      <c r="A309" s="252" t="s">
        <v>1893</v>
      </c>
      <c r="B309" s="252"/>
      <c r="C309" s="252"/>
      <c r="D309" s="252"/>
    </row>
    <row r="310" spans="1:4" x14ac:dyDescent="0.35">
      <c r="A310" s="252" t="s">
        <v>1894</v>
      </c>
      <c r="B310" s="252"/>
      <c r="C310" s="252"/>
      <c r="D310" s="252"/>
    </row>
    <row r="311" spans="1:4" x14ac:dyDescent="0.35">
      <c r="A311" s="252" t="s">
        <v>1895</v>
      </c>
      <c r="B311" s="252"/>
      <c r="C311" s="252"/>
      <c r="D311" s="252"/>
    </row>
    <row r="312" spans="1:4" x14ac:dyDescent="0.35">
      <c r="A312" s="252" t="s">
        <v>1896</v>
      </c>
      <c r="B312" s="252"/>
      <c r="C312" s="252"/>
      <c r="D312" s="252"/>
    </row>
    <row r="313" spans="1:4" x14ac:dyDescent="0.35">
      <c r="A313" s="252" t="s">
        <v>1897</v>
      </c>
      <c r="B313" s="252"/>
      <c r="C313" s="252"/>
      <c r="D313" s="252"/>
    </row>
    <row r="314" spans="1:4" x14ac:dyDescent="0.35">
      <c r="A314" s="252" t="s">
        <v>1898</v>
      </c>
      <c r="B314" s="252"/>
      <c r="C314" s="252"/>
      <c r="D314" s="252"/>
    </row>
    <row r="315" spans="1:4" x14ac:dyDescent="0.35">
      <c r="A315" s="252" t="s">
        <v>1899</v>
      </c>
      <c r="B315" s="252"/>
      <c r="C315" s="252"/>
      <c r="D315" s="252"/>
    </row>
    <row r="316" spans="1:4" x14ac:dyDescent="0.35">
      <c r="A316" s="252" t="s">
        <v>1900</v>
      </c>
      <c r="B316" s="252"/>
      <c r="C316" s="252"/>
      <c r="D316" s="252"/>
    </row>
    <row r="317" spans="1:4" x14ac:dyDescent="0.35">
      <c r="A317" s="252" t="s">
        <v>1901</v>
      </c>
      <c r="B317" s="252"/>
      <c r="C317" s="252"/>
      <c r="D317" s="252"/>
    </row>
    <row r="318" spans="1:4" x14ac:dyDescent="0.35">
      <c r="A318" s="252" t="s">
        <v>1902</v>
      </c>
      <c r="B318" s="252"/>
      <c r="C318" s="252"/>
      <c r="D318" s="252"/>
    </row>
    <row r="319" spans="1:4" x14ac:dyDescent="0.35">
      <c r="A319" s="252" t="s">
        <v>1903</v>
      </c>
      <c r="B319" s="252"/>
      <c r="C319" s="252"/>
      <c r="D319" s="252"/>
    </row>
    <row r="320" spans="1:4" x14ac:dyDescent="0.35">
      <c r="A320" s="252" t="s">
        <v>1904</v>
      </c>
      <c r="B320" s="252"/>
      <c r="C320" s="252"/>
      <c r="D320" s="252"/>
    </row>
    <row r="321" spans="1:4" x14ac:dyDescent="0.35">
      <c r="A321" s="252" t="s">
        <v>1905</v>
      </c>
      <c r="B321" s="252"/>
      <c r="C321" s="252"/>
      <c r="D321" s="252"/>
    </row>
    <row r="322" spans="1:4" x14ac:dyDescent="0.35">
      <c r="A322" s="252" t="s">
        <v>1906</v>
      </c>
      <c r="B322" s="252"/>
      <c r="C322" s="252"/>
      <c r="D322" s="252"/>
    </row>
    <row r="323" spans="1:4" x14ac:dyDescent="0.35">
      <c r="A323" s="252" t="s">
        <v>1907</v>
      </c>
      <c r="B323" s="252"/>
      <c r="C323" s="252"/>
      <c r="D323" s="252"/>
    </row>
    <row r="324" spans="1:4" x14ac:dyDescent="0.35">
      <c r="A324" s="252" t="s">
        <v>1908</v>
      </c>
      <c r="B324" s="252"/>
      <c r="C324" s="252"/>
      <c r="D324" s="252"/>
    </row>
    <row r="325" spans="1:4" x14ac:dyDescent="0.35">
      <c r="A325" s="252" t="s">
        <v>1909</v>
      </c>
      <c r="B325" s="252"/>
      <c r="C325" s="252"/>
      <c r="D325" s="252"/>
    </row>
    <row r="326" spans="1:4" x14ac:dyDescent="0.35">
      <c r="A326" s="252" t="s">
        <v>1910</v>
      </c>
      <c r="B326" s="252"/>
      <c r="C326" s="252"/>
      <c r="D326" s="252"/>
    </row>
    <row r="327" spans="1:4" x14ac:dyDescent="0.35">
      <c r="A327" s="252" t="s">
        <v>1911</v>
      </c>
      <c r="B327" s="252"/>
      <c r="C327" s="252"/>
      <c r="D327" s="252"/>
    </row>
    <row r="328" spans="1:4" x14ac:dyDescent="0.35">
      <c r="A328" s="252" t="s">
        <v>1912</v>
      </c>
      <c r="B328" s="252"/>
      <c r="C328" s="252"/>
      <c r="D328" s="252"/>
    </row>
    <row r="329" spans="1:4" x14ac:dyDescent="0.35">
      <c r="A329" s="252" t="s">
        <v>1913</v>
      </c>
      <c r="B329" s="252"/>
      <c r="C329" s="252"/>
      <c r="D329" s="252"/>
    </row>
    <row r="330" spans="1:4" x14ac:dyDescent="0.35">
      <c r="A330" s="252" t="s">
        <v>1914</v>
      </c>
      <c r="B330" s="252"/>
      <c r="C330" s="252"/>
      <c r="D330" s="252"/>
    </row>
    <row r="331" spans="1:4" x14ac:dyDescent="0.35">
      <c r="A331" s="252" t="s">
        <v>1915</v>
      </c>
      <c r="B331" s="252"/>
      <c r="C331" s="252"/>
      <c r="D331" s="252"/>
    </row>
    <row r="332" spans="1:4" x14ac:dyDescent="0.35">
      <c r="A332" s="252" t="s">
        <v>1916</v>
      </c>
      <c r="B332" s="252"/>
      <c r="C332" s="252"/>
      <c r="D332" s="252"/>
    </row>
    <row r="333" spans="1:4" x14ac:dyDescent="0.35">
      <c r="A333" s="252" t="s">
        <v>1917</v>
      </c>
      <c r="B333" s="252"/>
      <c r="C333" s="252"/>
      <c r="D333" s="252"/>
    </row>
    <row r="334" spans="1:4" x14ac:dyDescent="0.35">
      <c r="A334" s="252" t="s">
        <v>1918</v>
      </c>
      <c r="B334" s="252"/>
      <c r="C334" s="252"/>
      <c r="D334" s="252"/>
    </row>
    <row r="335" spans="1:4" x14ac:dyDescent="0.35">
      <c r="A335" s="252" t="s">
        <v>1919</v>
      </c>
      <c r="B335" s="252"/>
      <c r="C335" s="252"/>
      <c r="D335" s="252"/>
    </row>
    <row r="336" spans="1:4" x14ac:dyDescent="0.35">
      <c r="A336" s="252" t="s">
        <v>1920</v>
      </c>
      <c r="B336" s="252"/>
      <c r="C336" s="252"/>
      <c r="D336" s="252"/>
    </row>
    <row r="337" spans="1:4" x14ac:dyDescent="0.35">
      <c r="A337" s="252" t="s">
        <v>1921</v>
      </c>
      <c r="B337" s="252"/>
      <c r="C337" s="252"/>
      <c r="D337" s="252"/>
    </row>
    <row r="338" spans="1:4" x14ac:dyDescent="0.35">
      <c r="A338" s="252" t="s">
        <v>1922</v>
      </c>
      <c r="B338" s="252"/>
      <c r="C338" s="252"/>
      <c r="D338" s="252"/>
    </row>
    <row r="339" spans="1:4" x14ac:dyDescent="0.35">
      <c r="A339" s="252" t="s">
        <v>1923</v>
      </c>
      <c r="B339" s="252"/>
      <c r="C339" s="252"/>
      <c r="D339" s="252"/>
    </row>
    <row r="340" spans="1:4" x14ac:dyDescent="0.35">
      <c r="A340" s="252" t="s">
        <v>1924</v>
      </c>
      <c r="B340" s="252"/>
      <c r="C340" s="252"/>
      <c r="D340" s="252"/>
    </row>
    <row r="341" spans="1:4" x14ac:dyDescent="0.35">
      <c r="A341" s="252" t="s">
        <v>1925</v>
      </c>
      <c r="B341" s="252"/>
      <c r="C341" s="252"/>
      <c r="D341" s="252"/>
    </row>
    <row r="342" spans="1:4" x14ac:dyDescent="0.35">
      <c r="A342" s="252" t="s">
        <v>1926</v>
      </c>
      <c r="B342" s="252"/>
      <c r="C342" s="252"/>
      <c r="D342" s="252"/>
    </row>
    <row r="343" spans="1:4" x14ac:dyDescent="0.35">
      <c r="A343" s="252" t="s">
        <v>1927</v>
      </c>
      <c r="B343" s="252"/>
      <c r="C343" s="252"/>
      <c r="D343" s="252"/>
    </row>
    <row r="344" spans="1:4" x14ac:dyDescent="0.35">
      <c r="A344" s="252" t="s">
        <v>1928</v>
      </c>
      <c r="B344" s="252"/>
      <c r="C344" s="252"/>
      <c r="D344" s="252"/>
    </row>
    <row r="345" spans="1:4" x14ac:dyDescent="0.35">
      <c r="A345" s="252" t="s">
        <v>1929</v>
      </c>
      <c r="B345" s="252"/>
      <c r="C345" s="252"/>
      <c r="D345" s="252"/>
    </row>
    <row r="346" spans="1:4" x14ac:dyDescent="0.35">
      <c r="A346" s="252" t="s">
        <v>1930</v>
      </c>
      <c r="B346" s="252"/>
      <c r="C346" s="252"/>
      <c r="D346" s="252"/>
    </row>
    <row r="347" spans="1:4" x14ac:dyDescent="0.35">
      <c r="A347" s="252" t="s">
        <v>1931</v>
      </c>
      <c r="B347" s="252"/>
      <c r="C347" s="252"/>
      <c r="D347" s="252"/>
    </row>
    <row r="348" spans="1:4" x14ac:dyDescent="0.35">
      <c r="A348" s="252" t="s">
        <v>1932</v>
      </c>
      <c r="B348" s="252"/>
      <c r="C348" s="252"/>
      <c r="D348" s="252"/>
    </row>
    <row r="349" spans="1:4" x14ac:dyDescent="0.35">
      <c r="A349" s="252" t="s">
        <v>1933</v>
      </c>
      <c r="B349" s="252"/>
      <c r="C349" s="252"/>
      <c r="D349" s="252"/>
    </row>
    <row r="350" spans="1:4" x14ac:dyDescent="0.35">
      <c r="A350" s="252" t="s">
        <v>1934</v>
      </c>
      <c r="B350" s="252"/>
      <c r="C350" s="252"/>
      <c r="D350" s="252"/>
    </row>
    <row r="351" spans="1:4" x14ac:dyDescent="0.35">
      <c r="A351" s="252" t="s">
        <v>1935</v>
      </c>
      <c r="B351" s="252"/>
      <c r="C351" s="252"/>
      <c r="D351" s="252"/>
    </row>
    <row r="352" spans="1:4" x14ac:dyDescent="0.35">
      <c r="A352" s="252" t="s">
        <v>1936</v>
      </c>
      <c r="B352" s="252"/>
      <c r="C352" s="252"/>
      <c r="D352" s="252"/>
    </row>
    <row r="353" spans="1:4" x14ac:dyDescent="0.35">
      <c r="A353" s="252" t="s">
        <v>1937</v>
      </c>
      <c r="B353" s="252"/>
      <c r="C353" s="252"/>
      <c r="D353" s="252"/>
    </row>
    <row r="354" spans="1:4" x14ac:dyDescent="0.35">
      <c r="A354" s="252" t="s">
        <v>1938</v>
      </c>
      <c r="B354" s="252"/>
      <c r="C354" s="252"/>
      <c r="D354" s="252"/>
    </row>
    <row r="355" spans="1:4" x14ac:dyDescent="0.35">
      <c r="A355" s="252" t="s">
        <v>1939</v>
      </c>
      <c r="B355" s="252"/>
      <c r="C355" s="252"/>
      <c r="D355" s="252"/>
    </row>
    <row r="356" spans="1:4" x14ac:dyDescent="0.35">
      <c r="A356" s="252" t="s">
        <v>1940</v>
      </c>
      <c r="B356" s="252"/>
      <c r="C356" s="252"/>
      <c r="D356" s="252"/>
    </row>
    <row r="357" spans="1:4" x14ac:dyDescent="0.35">
      <c r="A357" s="252" t="s">
        <v>1941</v>
      </c>
      <c r="B357" s="252"/>
      <c r="C357" s="252"/>
      <c r="D357" s="252"/>
    </row>
    <row r="358" spans="1:4" x14ac:dyDescent="0.35">
      <c r="A358" s="252" t="s">
        <v>1942</v>
      </c>
      <c r="B358" s="252"/>
      <c r="C358" s="252"/>
      <c r="D358" s="252"/>
    </row>
    <row r="359" spans="1:4" x14ac:dyDescent="0.35">
      <c r="A359" s="252" t="s">
        <v>1943</v>
      </c>
      <c r="B359" s="252"/>
      <c r="C359" s="252"/>
      <c r="D359" s="252"/>
    </row>
    <row r="360" spans="1:4" x14ac:dyDescent="0.35">
      <c r="A360" s="252" t="s">
        <v>1944</v>
      </c>
      <c r="B360" s="252"/>
      <c r="C360" s="252"/>
      <c r="D360" s="252"/>
    </row>
    <row r="361" spans="1:4" x14ac:dyDescent="0.35">
      <c r="A361" s="252" t="s">
        <v>1945</v>
      </c>
      <c r="B361" s="252"/>
      <c r="C361" s="252"/>
      <c r="D361" s="252"/>
    </row>
    <row r="362" spans="1:4" x14ac:dyDescent="0.35">
      <c r="A362" s="252" t="s">
        <v>1946</v>
      </c>
      <c r="B362" s="252"/>
      <c r="C362" s="252"/>
      <c r="D362" s="252"/>
    </row>
    <row r="363" spans="1:4" x14ac:dyDescent="0.35">
      <c r="A363" s="252" t="s">
        <v>1947</v>
      </c>
      <c r="B363" s="252"/>
      <c r="C363" s="252"/>
      <c r="D363" s="252"/>
    </row>
    <row r="364" spans="1:4" x14ac:dyDescent="0.35">
      <c r="A364" s="252" t="s">
        <v>1948</v>
      </c>
      <c r="B364" s="252"/>
      <c r="C364" s="252"/>
      <c r="D364" s="252"/>
    </row>
    <row r="365" spans="1:4" x14ac:dyDescent="0.35">
      <c r="A365" s="252" t="s">
        <v>1949</v>
      </c>
      <c r="B365" s="252"/>
      <c r="C365" s="252"/>
      <c r="D365" s="252"/>
    </row>
    <row r="366" spans="1:4" x14ac:dyDescent="0.35">
      <c r="A366" s="252" t="s">
        <v>1950</v>
      </c>
      <c r="B366" s="252"/>
      <c r="C366" s="252"/>
      <c r="D366" s="252"/>
    </row>
    <row r="367" spans="1:4" x14ac:dyDescent="0.35">
      <c r="A367" s="252" t="s">
        <v>1951</v>
      </c>
      <c r="B367" s="252"/>
      <c r="C367" s="252"/>
      <c r="D367" s="252"/>
    </row>
    <row r="368" spans="1:4" x14ac:dyDescent="0.35">
      <c r="A368" s="252" t="s">
        <v>1952</v>
      </c>
      <c r="B368" s="252"/>
      <c r="C368" s="252"/>
      <c r="D368" s="252"/>
    </row>
    <row r="369" spans="1:4" x14ac:dyDescent="0.35">
      <c r="A369" s="252" t="s">
        <v>1953</v>
      </c>
      <c r="B369" s="252"/>
      <c r="C369" s="252"/>
      <c r="D369" s="252"/>
    </row>
    <row r="370" spans="1:4" x14ac:dyDescent="0.35">
      <c r="A370" s="252" t="s">
        <v>1954</v>
      </c>
      <c r="B370" s="252"/>
      <c r="C370" s="252"/>
      <c r="D370" s="252"/>
    </row>
    <row r="371" spans="1:4" x14ac:dyDescent="0.35">
      <c r="A371" s="252" t="s">
        <v>1955</v>
      </c>
      <c r="B371" s="252"/>
      <c r="C371" s="252"/>
      <c r="D371" s="252"/>
    </row>
    <row r="372" spans="1:4" x14ac:dyDescent="0.35">
      <c r="A372" s="252" t="s">
        <v>1956</v>
      </c>
      <c r="B372" s="252"/>
      <c r="C372" s="252"/>
      <c r="D372" s="252"/>
    </row>
    <row r="373" spans="1:4" x14ac:dyDescent="0.35">
      <c r="A373" s="252" t="s">
        <v>1957</v>
      </c>
      <c r="B373" s="252"/>
      <c r="C373" s="252"/>
      <c r="D373" s="252"/>
    </row>
    <row r="374" spans="1:4" x14ac:dyDescent="0.35">
      <c r="A374" s="252" t="s">
        <v>1958</v>
      </c>
      <c r="B374" s="252"/>
      <c r="C374" s="252"/>
      <c r="D374" s="252"/>
    </row>
    <row r="375" spans="1:4" x14ac:dyDescent="0.35">
      <c r="A375" s="252" t="s">
        <v>1959</v>
      </c>
      <c r="B375" s="252"/>
      <c r="C375" s="252"/>
      <c r="D375" s="252"/>
    </row>
    <row r="376" spans="1:4" x14ac:dyDescent="0.35">
      <c r="A376" s="252" t="s">
        <v>1960</v>
      </c>
      <c r="B376" s="252"/>
      <c r="C376" s="252"/>
      <c r="D376" s="252"/>
    </row>
    <row r="377" spans="1:4" x14ac:dyDescent="0.35">
      <c r="A377" s="252" t="s">
        <v>1961</v>
      </c>
      <c r="B377" s="252"/>
      <c r="C377" s="252"/>
      <c r="D377" s="252"/>
    </row>
    <row r="378" spans="1:4" x14ac:dyDescent="0.35">
      <c r="A378" s="252" t="s">
        <v>1962</v>
      </c>
      <c r="B378" s="252"/>
      <c r="C378" s="252"/>
      <c r="D378" s="252"/>
    </row>
    <row r="379" spans="1:4" x14ac:dyDescent="0.35">
      <c r="A379" s="252" t="s">
        <v>1963</v>
      </c>
      <c r="B379" s="252"/>
      <c r="C379" s="252"/>
      <c r="D379" s="252"/>
    </row>
    <row r="380" spans="1:4" x14ac:dyDescent="0.35">
      <c r="A380" s="252" t="s">
        <v>1964</v>
      </c>
      <c r="B380" s="252"/>
      <c r="C380" s="252"/>
      <c r="D380" s="252"/>
    </row>
    <row r="381" spans="1:4" x14ac:dyDescent="0.35">
      <c r="A381" s="252" t="s">
        <v>1965</v>
      </c>
      <c r="B381" s="252"/>
      <c r="C381" s="252"/>
      <c r="D381" s="252"/>
    </row>
    <row r="382" spans="1:4" x14ac:dyDescent="0.35">
      <c r="A382" s="252" t="s">
        <v>1966</v>
      </c>
      <c r="B382" s="252"/>
      <c r="C382" s="252"/>
      <c r="D382" s="252"/>
    </row>
    <row r="383" spans="1:4" x14ac:dyDescent="0.35">
      <c r="A383" s="252" t="s">
        <v>1967</v>
      </c>
      <c r="B383" s="252"/>
      <c r="C383" s="252"/>
      <c r="D383" s="252"/>
    </row>
    <row r="384" spans="1:4" x14ac:dyDescent="0.35">
      <c r="A384" s="252" t="s">
        <v>1968</v>
      </c>
      <c r="B384" s="252"/>
      <c r="C384" s="252"/>
      <c r="D384" s="252"/>
    </row>
    <row r="385" spans="1:4" x14ac:dyDescent="0.35">
      <c r="A385" s="252" t="s">
        <v>1969</v>
      </c>
      <c r="B385" s="252"/>
      <c r="C385" s="252"/>
      <c r="D385" s="252"/>
    </row>
    <row r="386" spans="1:4" x14ac:dyDescent="0.35">
      <c r="A386" s="252" t="s">
        <v>1970</v>
      </c>
      <c r="B386" s="252"/>
      <c r="C386" s="252"/>
      <c r="D386" s="252"/>
    </row>
    <row r="387" spans="1:4" x14ac:dyDescent="0.35">
      <c r="A387" s="252" t="s">
        <v>1971</v>
      </c>
      <c r="B387" s="252"/>
      <c r="C387" s="252"/>
      <c r="D387" s="252"/>
    </row>
    <row r="388" spans="1:4" x14ac:dyDescent="0.35">
      <c r="A388" s="252" t="s">
        <v>1972</v>
      </c>
      <c r="B388" s="252"/>
      <c r="C388" s="252"/>
      <c r="D388" s="252"/>
    </row>
    <row r="389" spans="1:4" x14ac:dyDescent="0.35">
      <c r="A389" s="252" t="s">
        <v>1973</v>
      </c>
      <c r="B389" s="252"/>
      <c r="C389" s="252"/>
      <c r="D389" s="252"/>
    </row>
    <row r="390" spans="1:4" x14ac:dyDescent="0.35">
      <c r="A390" s="252" t="s">
        <v>1974</v>
      </c>
      <c r="B390" s="252"/>
      <c r="C390" s="252"/>
      <c r="D390" s="252"/>
    </row>
    <row r="391" spans="1:4" x14ac:dyDescent="0.35">
      <c r="A391" s="252" t="s">
        <v>1975</v>
      </c>
      <c r="B391" s="252"/>
      <c r="C391" s="252"/>
      <c r="D391" s="252"/>
    </row>
    <row r="392" spans="1:4" x14ac:dyDescent="0.35">
      <c r="A392" s="252" t="s">
        <v>1976</v>
      </c>
      <c r="B392" s="252"/>
      <c r="C392" s="252"/>
      <c r="D392" s="252"/>
    </row>
    <row r="393" spans="1:4" x14ac:dyDescent="0.35">
      <c r="A393" s="252" t="s">
        <v>1977</v>
      </c>
      <c r="B393" s="252"/>
      <c r="C393" s="252"/>
      <c r="D393" s="252"/>
    </row>
    <row r="394" spans="1:4" x14ac:dyDescent="0.35">
      <c r="A394" s="252" t="s">
        <v>1978</v>
      </c>
      <c r="B394" s="252"/>
      <c r="C394" s="252"/>
      <c r="D394" s="252"/>
    </row>
    <row r="395" spans="1:4" x14ac:dyDescent="0.35">
      <c r="A395" s="252" t="s">
        <v>1979</v>
      </c>
      <c r="B395" s="252"/>
      <c r="C395" s="252"/>
      <c r="D395" s="252"/>
    </row>
    <row r="396" spans="1:4" x14ac:dyDescent="0.35">
      <c r="A396" s="252" t="s">
        <v>1980</v>
      </c>
      <c r="B396" s="252"/>
      <c r="C396" s="252"/>
      <c r="D396" s="252"/>
    </row>
    <row r="397" spans="1:4" x14ac:dyDescent="0.35">
      <c r="A397" s="252" t="s">
        <v>1981</v>
      </c>
      <c r="B397" s="252"/>
      <c r="C397" s="252"/>
      <c r="D397" s="252"/>
    </row>
    <row r="398" spans="1:4" x14ac:dyDescent="0.35">
      <c r="A398" s="252" t="s">
        <v>1982</v>
      </c>
      <c r="B398" s="252"/>
      <c r="C398" s="252"/>
      <c r="D398" s="252"/>
    </row>
    <row r="399" spans="1:4" x14ac:dyDescent="0.35">
      <c r="A399" s="252" t="s">
        <v>1983</v>
      </c>
      <c r="B399" s="252"/>
      <c r="C399" s="252"/>
      <c r="D399" s="252"/>
    </row>
    <row r="400" spans="1:4" x14ac:dyDescent="0.35">
      <c r="A400" s="252" t="s">
        <v>1984</v>
      </c>
      <c r="B400" s="252"/>
      <c r="C400" s="252"/>
      <c r="D400" s="252"/>
    </row>
    <row r="401" spans="1:4" x14ac:dyDescent="0.35">
      <c r="A401" s="252" t="s">
        <v>1985</v>
      </c>
      <c r="B401" s="252"/>
      <c r="C401" s="252"/>
      <c r="D401" s="252"/>
    </row>
    <row r="402" spans="1:4" x14ac:dyDescent="0.35">
      <c r="A402" s="252" t="s">
        <v>1986</v>
      </c>
      <c r="B402" s="252"/>
      <c r="C402" s="252"/>
      <c r="D402" s="252"/>
    </row>
    <row r="403" spans="1:4" x14ac:dyDescent="0.35">
      <c r="A403" s="252" t="s">
        <v>1987</v>
      </c>
      <c r="B403" s="252"/>
      <c r="C403" s="252"/>
      <c r="D403" s="252"/>
    </row>
    <row r="404" spans="1:4" x14ac:dyDescent="0.35">
      <c r="A404" s="252" t="s">
        <v>1988</v>
      </c>
      <c r="B404" s="252"/>
      <c r="C404" s="252"/>
      <c r="D404" s="252"/>
    </row>
    <row r="405" spans="1:4" x14ac:dyDescent="0.35">
      <c r="A405" s="252" t="s">
        <v>1989</v>
      </c>
      <c r="B405" s="252"/>
      <c r="C405" s="252"/>
      <c r="D405" s="252"/>
    </row>
    <row r="406" spans="1:4" x14ac:dyDescent="0.35">
      <c r="A406" s="252" t="s">
        <v>1990</v>
      </c>
      <c r="B406" s="252"/>
      <c r="C406" s="252"/>
      <c r="D406" s="252"/>
    </row>
    <row r="407" spans="1:4" x14ac:dyDescent="0.35">
      <c r="A407" s="252" t="s">
        <v>1991</v>
      </c>
      <c r="B407" s="252"/>
      <c r="C407" s="252"/>
      <c r="D407" s="252"/>
    </row>
    <row r="408" spans="1:4" x14ac:dyDescent="0.35">
      <c r="A408" s="252" t="s">
        <v>1992</v>
      </c>
      <c r="B408" s="252"/>
      <c r="C408" s="252"/>
      <c r="D408" s="252"/>
    </row>
    <row r="409" spans="1:4" x14ac:dyDescent="0.35">
      <c r="A409" s="252" t="s">
        <v>1993</v>
      </c>
      <c r="B409" s="252"/>
      <c r="C409" s="252"/>
      <c r="D409" s="252"/>
    </row>
    <row r="410" spans="1:4" x14ac:dyDescent="0.35">
      <c r="A410" s="252" t="s">
        <v>1994</v>
      </c>
      <c r="B410" s="252"/>
      <c r="C410" s="252"/>
      <c r="D410" s="252"/>
    </row>
    <row r="411" spans="1:4" x14ac:dyDescent="0.35">
      <c r="A411" s="252" t="s">
        <v>1995</v>
      </c>
      <c r="B411" s="252"/>
      <c r="C411" s="252"/>
      <c r="D411" s="252"/>
    </row>
    <row r="412" spans="1:4" x14ac:dyDescent="0.35">
      <c r="A412" s="252" t="s">
        <v>1996</v>
      </c>
      <c r="B412" s="252"/>
      <c r="C412" s="252"/>
      <c r="D412" s="252"/>
    </row>
    <row r="413" spans="1:4" x14ac:dyDescent="0.35">
      <c r="A413" s="252" t="s">
        <v>1997</v>
      </c>
      <c r="B413" s="252"/>
      <c r="C413" s="252"/>
      <c r="D413" s="252"/>
    </row>
    <row r="414" spans="1:4" x14ac:dyDescent="0.35">
      <c r="A414" s="252" t="s">
        <v>1998</v>
      </c>
      <c r="B414" s="252"/>
      <c r="C414" s="252"/>
      <c r="D414" s="252"/>
    </row>
    <row r="415" spans="1:4" x14ac:dyDescent="0.35">
      <c r="A415" s="252" t="s">
        <v>1999</v>
      </c>
      <c r="B415" s="252"/>
      <c r="C415" s="252"/>
      <c r="D415" s="252"/>
    </row>
    <row r="416" spans="1:4" x14ac:dyDescent="0.35">
      <c r="A416" s="252" t="s">
        <v>2000</v>
      </c>
      <c r="B416" s="252"/>
      <c r="C416" s="252"/>
      <c r="D416" s="252"/>
    </row>
    <row r="417" spans="1:4" x14ac:dyDescent="0.35">
      <c r="A417" s="252" t="s">
        <v>2001</v>
      </c>
      <c r="B417" s="252"/>
      <c r="C417" s="252"/>
      <c r="D417" s="252"/>
    </row>
    <row r="418" spans="1:4" x14ac:dyDescent="0.35">
      <c r="A418" s="252" t="s">
        <v>2002</v>
      </c>
      <c r="B418" s="252"/>
      <c r="C418" s="252"/>
      <c r="D418" s="252"/>
    </row>
    <row r="419" spans="1:4" x14ac:dyDescent="0.35">
      <c r="A419" s="252" t="s">
        <v>2003</v>
      </c>
      <c r="B419" s="252"/>
      <c r="C419" s="252"/>
      <c r="D419" s="252"/>
    </row>
    <row r="420" spans="1:4" x14ac:dyDescent="0.35">
      <c r="A420" s="252" t="s">
        <v>2004</v>
      </c>
      <c r="B420" s="252"/>
      <c r="C420" s="252"/>
      <c r="D420" s="252"/>
    </row>
    <row r="421" spans="1:4" x14ac:dyDescent="0.35">
      <c r="A421" s="252" t="s">
        <v>2005</v>
      </c>
      <c r="B421" s="252"/>
      <c r="C421" s="252"/>
      <c r="D421" s="252"/>
    </row>
    <row r="422" spans="1:4" x14ac:dyDescent="0.35">
      <c r="A422" s="252" t="s">
        <v>2006</v>
      </c>
      <c r="B422" s="252"/>
      <c r="C422" s="252"/>
      <c r="D422" s="252"/>
    </row>
    <row r="423" spans="1:4" x14ac:dyDescent="0.35">
      <c r="A423" s="252" t="s">
        <v>2007</v>
      </c>
      <c r="B423" s="252"/>
      <c r="C423" s="252"/>
      <c r="D423" s="252"/>
    </row>
    <row r="424" spans="1:4" x14ac:dyDescent="0.35">
      <c r="A424" s="252" t="s">
        <v>2008</v>
      </c>
      <c r="B424" s="252"/>
      <c r="C424" s="252"/>
      <c r="D424" s="252"/>
    </row>
    <row r="425" spans="1:4" x14ac:dyDescent="0.35">
      <c r="A425" s="252" t="s">
        <v>2009</v>
      </c>
      <c r="B425" s="252"/>
      <c r="C425" s="252"/>
      <c r="D425" s="252"/>
    </row>
    <row r="426" spans="1:4" x14ac:dyDescent="0.35">
      <c r="A426" s="252" t="s">
        <v>2010</v>
      </c>
      <c r="B426" s="252"/>
      <c r="C426" s="252"/>
      <c r="D426" s="252"/>
    </row>
    <row r="427" spans="1:4" x14ac:dyDescent="0.35">
      <c r="A427" s="252" t="s">
        <v>2011</v>
      </c>
      <c r="B427" s="252"/>
      <c r="C427" s="252"/>
      <c r="D427" s="252"/>
    </row>
    <row r="428" spans="1:4" x14ac:dyDescent="0.35">
      <c r="A428" s="252" t="s">
        <v>2012</v>
      </c>
      <c r="B428" s="252"/>
      <c r="C428" s="252"/>
      <c r="D428" s="252"/>
    </row>
    <row r="429" spans="1:4" x14ac:dyDescent="0.35">
      <c r="A429" s="252" t="s">
        <v>2013</v>
      </c>
      <c r="B429" s="252"/>
      <c r="C429" s="252"/>
      <c r="D429" s="252"/>
    </row>
    <row r="430" spans="1:4" x14ac:dyDescent="0.35">
      <c r="A430" s="252" t="s">
        <v>2014</v>
      </c>
      <c r="B430" s="252"/>
      <c r="C430" s="252"/>
      <c r="D430" s="252"/>
    </row>
    <row r="431" spans="1:4" x14ac:dyDescent="0.35">
      <c r="A431" s="252" t="s">
        <v>2015</v>
      </c>
      <c r="B431" s="252"/>
      <c r="C431" s="252"/>
      <c r="D431" s="252"/>
    </row>
    <row r="432" spans="1:4" x14ac:dyDescent="0.35">
      <c r="A432" s="252" t="s">
        <v>2016</v>
      </c>
      <c r="B432" s="252"/>
      <c r="C432" s="252"/>
      <c r="D432" s="252"/>
    </row>
    <row r="433" spans="1:4" x14ac:dyDescent="0.35">
      <c r="A433" s="252" t="s">
        <v>2017</v>
      </c>
      <c r="B433" s="252"/>
      <c r="C433" s="252"/>
      <c r="D433" s="252"/>
    </row>
    <row r="434" spans="1:4" x14ac:dyDescent="0.35">
      <c r="A434" s="252" t="s">
        <v>2018</v>
      </c>
      <c r="B434" s="252"/>
      <c r="C434" s="252"/>
      <c r="D434" s="252"/>
    </row>
    <row r="435" spans="1:4" x14ac:dyDescent="0.35">
      <c r="A435" s="252" t="s">
        <v>2019</v>
      </c>
      <c r="B435" s="252"/>
      <c r="C435" s="252"/>
      <c r="D435" s="252"/>
    </row>
    <row r="436" spans="1:4" x14ac:dyDescent="0.35">
      <c r="A436" s="252" t="s">
        <v>2020</v>
      </c>
      <c r="B436" s="252"/>
      <c r="C436" s="252"/>
      <c r="D436" s="252"/>
    </row>
    <row r="437" spans="1:4" x14ac:dyDescent="0.35">
      <c r="A437" s="252" t="s">
        <v>2021</v>
      </c>
      <c r="B437" s="252"/>
      <c r="C437" s="252"/>
      <c r="D437" s="252"/>
    </row>
    <row r="438" spans="1:4" x14ac:dyDescent="0.35">
      <c r="A438" s="252" t="s">
        <v>2022</v>
      </c>
      <c r="B438" s="252"/>
      <c r="C438" s="252"/>
      <c r="D438" s="252"/>
    </row>
    <row r="439" spans="1:4" x14ac:dyDescent="0.35">
      <c r="A439" s="252" t="s">
        <v>2023</v>
      </c>
      <c r="B439" s="252"/>
      <c r="C439" s="252"/>
      <c r="D439" s="252"/>
    </row>
    <row r="440" spans="1:4" x14ac:dyDescent="0.35">
      <c r="A440" s="252" t="s">
        <v>2024</v>
      </c>
      <c r="B440" s="252"/>
      <c r="C440" s="252"/>
      <c r="D440" s="252"/>
    </row>
    <row r="441" spans="1:4" x14ac:dyDescent="0.35">
      <c r="A441" s="252" t="s">
        <v>2025</v>
      </c>
      <c r="B441" s="252"/>
      <c r="C441" s="252"/>
      <c r="D441" s="252"/>
    </row>
    <row r="442" spans="1:4" x14ac:dyDescent="0.35">
      <c r="A442" s="252" t="s">
        <v>2026</v>
      </c>
      <c r="B442" s="252"/>
      <c r="C442" s="252"/>
      <c r="D442" s="252"/>
    </row>
    <row r="443" spans="1:4" x14ac:dyDescent="0.35">
      <c r="A443" s="252" t="s">
        <v>2027</v>
      </c>
      <c r="B443" s="252"/>
      <c r="C443" s="252"/>
      <c r="D443" s="252"/>
    </row>
    <row r="444" spans="1:4" x14ac:dyDescent="0.35">
      <c r="A444" s="252" t="s">
        <v>2028</v>
      </c>
      <c r="B444" s="252"/>
      <c r="C444" s="252"/>
      <c r="D444" s="252"/>
    </row>
    <row r="445" spans="1:4" x14ac:dyDescent="0.35">
      <c r="A445" s="252" t="s">
        <v>2029</v>
      </c>
      <c r="B445" s="252"/>
      <c r="C445" s="252"/>
      <c r="D445" s="252"/>
    </row>
    <row r="446" spans="1:4" x14ac:dyDescent="0.35">
      <c r="A446" s="252" t="s">
        <v>2030</v>
      </c>
      <c r="B446" s="252"/>
      <c r="C446" s="252"/>
      <c r="D446" s="252"/>
    </row>
    <row r="447" spans="1:4" x14ac:dyDescent="0.35">
      <c r="A447" s="252" t="s">
        <v>2031</v>
      </c>
      <c r="B447" s="252"/>
      <c r="C447" s="252"/>
      <c r="D447" s="252"/>
    </row>
    <row r="448" spans="1:4" x14ac:dyDescent="0.35">
      <c r="A448" s="252" t="s">
        <v>2032</v>
      </c>
      <c r="B448" s="252"/>
      <c r="C448" s="252"/>
      <c r="D448" s="252"/>
    </row>
    <row r="449" spans="1:4" x14ac:dyDescent="0.35">
      <c r="A449" s="252" t="s">
        <v>2033</v>
      </c>
      <c r="B449" s="252"/>
      <c r="C449" s="252"/>
      <c r="D449" s="252"/>
    </row>
    <row r="450" spans="1:4" x14ac:dyDescent="0.35">
      <c r="A450" s="252" t="s">
        <v>2034</v>
      </c>
      <c r="B450" s="252"/>
      <c r="C450" s="252"/>
      <c r="D450" s="252"/>
    </row>
    <row r="451" spans="1:4" x14ac:dyDescent="0.35">
      <c r="A451" s="252" t="s">
        <v>2035</v>
      </c>
      <c r="B451" s="252"/>
      <c r="C451" s="252"/>
      <c r="D451" s="252"/>
    </row>
    <row r="452" spans="1:4" x14ac:dyDescent="0.35">
      <c r="A452" s="252" t="s">
        <v>2036</v>
      </c>
      <c r="B452" s="252"/>
      <c r="C452" s="252"/>
      <c r="D452" s="252"/>
    </row>
    <row r="453" spans="1:4" x14ac:dyDescent="0.35">
      <c r="A453" s="252" t="s">
        <v>2037</v>
      </c>
      <c r="B453" s="252"/>
      <c r="C453" s="252"/>
      <c r="D453" s="252"/>
    </row>
    <row r="454" spans="1:4" x14ac:dyDescent="0.35">
      <c r="A454" s="252" t="s">
        <v>2038</v>
      </c>
      <c r="B454" s="252"/>
      <c r="C454" s="252"/>
      <c r="D454" s="252"/>
    </row>
    <row r="455" spans="1:4" x14ac:dyDescent="0.35">
      <c r="A455" s="252" t="s">
        <v>2039</v>
      </c>
      <c r="B455" s="252"/>
      <c r="C455" s="252"/>
      <c r="D455" s="252"/>
    </row>
    <row r="456" spans="1:4" x14ac:dyDescent="0.35">
      <c r="A456" s="252" t="s">
        <v>2040</v>
      </c>
      <c r="B456" s="252"/>
      <c r="C456" s="252"/>
      <c r="D456" s="252"/>
    </row>
    <row r="457" spans="1:4" x14ac:dyDescent="0.35">
      <c r="A457" s="252" t="s">
        <v>2041</v>
      </c>
      <c r="B457" s="252"/>
      <c r="C457" s="252"/>
      <c r="D457" s="252"/>
    </row>
    <row r="458" spans="1:4" x14ac:dyDescent="0.35">
      <c r="A458" s="252" t="s">
        <v>2042</v>
      </c>
      <c r="B458" s="252"/>
      <c r="C458" s="252"/>
      <c r="D458" s="252"/>
    </row>
    <row r="459" spans="1:4" x14ac:dyDescent="0.35">
      <c r="A459" s="252" t="s">
        <v>2043</v>
      </c>
      <c r="B459" s="252"/>
      <c r="C459" s="252"/>
      <c r="D459" s="252"/>
    </row>
    <row r="460" spans="1:4" x14ac:dyDescent="0.35">
      <c r="A460" s="252" t="s">
        <v>2044</v>
      </c>
      <c r="B460" s="252"/>
      <c r="C460" s="252"/>
      <c r="D460" s="252"/>
    </row>
    <row r="461" spans="1:4" x14ac:dyDescent="0.35">
      <c r="A461" s="252" t="s">
        <v>2045</v>
      </c>
      <c r="B461" s="252"/>
      <c r="C461" s="252"/>
      <c r="D461" s="252"/>
    </row>
    <row r="462" spans="1:4" x14ac:dyDescent="0.35">
      <c r="A462" s="252" t="s">
        <v>2046</v>
      </c>
      <c r="B462" s="252"/>
      <c r="C462" s="252"/>
      <c r="D462" s="252"/>
    </row>
    <row r="463" spans="1:4" x14ac:dyDescent="0.35">
      <c r="A463" s="252" t="s">
        <v>2047</v>
      </c>
      <c r="B463" s="252"/>
      <c r="C463" s="252"/>
      <c r="D463" s="252"/>
    </row>
    <row r="464" spans="1:4" x14ac:dyDescent="0.35">
      <c r="A464" s="252" t="s">
        <v>2048</v>
      </c>
      <c r="B464" s="252"/>
      <c r="C464" s="252"/>
      <c r="D464" s="252"/>
    </row>
    <row r="465" spans="1:4" x14ac:dyDescent="0.35">
      <c r="A465" s="252" t="s">
        <v>2049</v>
      </c>
      <c r="B465" s="252"/>
      <c r="C465" s="252"/>
      <c r="D465" s="252"/>
    </row>
    <row r="466" spans="1:4" x14ac:dyDescent="0.35">
      <c r="A466" s="252" t="s">
        <v>2050</v>
      </c>
      <c r="B466" s="252"/>
      <c r="C466" s="252"/>
      <c r="D466" s="252"/>
    </row>
    <row r="467" spans="1:4" x14ac:dyDescent="0.35">
      <c r="A467" s="252" t="s">
        <v>2051</v>
      </c>
      <c r="B467" s="252"/>
      <c r="C467" s="252"/>
      <c r="D467" s="252"/>
    </row>
    <row r="468" spans="1:4" x14ac:dyDescent="0.35">
      <c r="A468" s="252" t="s">
        <v>2052</v>
      </c>
      <c r="B468" s="252"/>
      <c r="C468" s="252"/>
      <c r="D468" s="252"/>
    </row>
    <row r="469" spans="1:4" x14ac:dyDescent="0.35">
      <c r="A469" s="252" t="s">
        <v>2053</v>
      </c>
      <c r="B469" s="252"/>
      <c r="C469" s="252"/>
      <c r="D469" s="252"/>
    </row>
    <row r="470" spans="1:4" x14ac:dyDescent="0.35">
      <c r="A470" s="252" t="s">
        <v>2054</v>
      </c>
      <c r="B470" s="252"/>
      <c r="C470" s="252"/>
      <c r="D470" s="252"/>
    </row>
    <row r="471" spans="1:4" x14ac:dyDescent="0.35">
      <c r="A471" s="252" t="s">
        <v>2055</v>
      </c>
      <c r="B471" s="252"/>
      <c r="C471" s="252"/>
      <c r="D471" s="252"/>
    </row>
    <row r="472" spans="1:4" x14ac:dyDescent="0.35">
      <c r="A472" s="252" t="s">
        <v>2056</v>
      </c>
      <c r="B472" s="252"/>
      <c r="C472" s="252"/>
      <c r="D472" s="252"/>
    </row>
    <row r="473" spans="1:4" x14ac:dyDescent="0.35">
      <c r="A473" s="252" t="s">
        <v>2057</v>
      </c>
      <c r="B473" s="252"/>
      <c r="C473" s="252"/>
      <c r="D473" s="252"/>
    </row>
    <row r="474" spans="1:4" x14ac:dyDescent="0.35">
      <c r="A474" s="252" t="s">
        <v>2058</v>
      </c>
      <c r="B474" s="252"/>
      <c r="C474" s="252"/>
      <c r="D474" s="252"/>
    </row>
    <row r="475" spans="1:4" x14ac:dyDescent="0.35">
      <c r="A475" s="252" t="s">
        <v>2059</v>
      </c>
      <c r="B475" s="252"/>
      <c r="C475" s="252"/>
      <c r="D475" s="252"/>
    </row>
    <row r="476" spans="1:4" x14ac:dyDescent="0.35">
      <c r="A476" s="252" t="s">
        <v>2060</v>
      </c>
      <c r="B476" s="252"/>
      <c r="C476" s="252"/>
      <c r="D476" s="252"/>
    </row>
    <row r="477" spans="1:4" x14ac:dyDescent="0.35">
      <c r="A477" s="252" t="s">
        <v>2061</v>
      </c>
      <c r="B477" s="252"/>
      <c r="C477" s="252"/>
      <c r="D477" s="252"/>
    </row>
    <row r="478" spans="1:4" x14ac:dyDescent="0.35">
      <c r="A478" s="252" t="s">
        <v>2062</v>
      </c>
      <c r="B478" s="252"/>
      <c r="C478" s="252"/>
      <c r="D478" s="252"/>
    </row>
    <row r="479" spans="1:4" x14ac:dyDescent="0.35">
      <c r="A479" s="252" t="s">
        <v>2063</v>
      </c>
      <c r="B479" s="252"/>
      <c r="C479" s="252"/>
      <c r="D479" s="252"/>
    </row>
    <row r="480" spans="1:4" x14ac:dyDescent="0.35">
      <c r="A480" s="252" t="s">
        <v>2064</v>
      </c>
      <c r="B480" s="252"/>
      <c r="C480" s="252"/>
      <c r="D480" s="252"/>
    </row>
    <row r="481" spans="1:4" x14ac:dyDescent="0.35">
      <c r="A481" s="252" t="s">
        <v>2065</v>
      </c>
      <c r="B481" s="252"/>
      <c r="C481" s="252"/>
      <c r="D481" s="252"/>
    </row>
    <row r="482" spans="1:4" x14ac:dyDescent="0.35">
      <c r="A482" s="252" t="s">
        <v>2066</v>
      </c>
      <c r="B482" s="252"/>
      <c r="C482" s="252"/>
      <c r="D482" s="252"/>
    </row>
    <row r="483" spans="1:4" x14ac:dyDescent="0.35">
      <c r="A483" s="252" t="s">
        <v>2067</v>
      </c>
      <c r="B483" s="252"/>
      <c r="C483" s="252"/>
      <c r="D483" s="252"/>
    </row>
    <row r="484" spans="1:4" x14ac:dyDescent="0.35">
      <c r="A484" s="252" t="s">
        <v>2068</v>
      </c>
      <c r="B484" s="252"/>
      <c r="C484" s="252"/>
      <c r="D484" s="252"/>
    </row>
    <row r="485" spans="1:4" x14ac:dyDescent="0.35">
      <c r="A485" s="252" t="s">
        <v>2069</v>
      </c>
      <c r="B485" s="252"/>
      <c r="C485" s="252"/>
      <c r="D485" s="252"/>
    </row>
    <row r="486" spans="1:4" x14ac:dyDescent="0.35">
      <c r="A486" s="252" t="s">
        <v>2070</v>
      </c>
      <c r="B486" s="252"/>
      <c r="C486" s="252"/>
      <c r="D486" s="252"/>
    </row>
    <row r="487" spans="1:4" x14ac:dyDescent="0.35">
      <c r="A487" s="252" t="s">
        <v>2071</v>
      </c>
      <c r="B487" s="252"/>
      <c r="C487" s="252"/>
      <c r="D487" s="252"/>
    </row>
    <row r="488" spans="1:4" x14ac:dyDescent="0.35">
      <c r="A488" s="252" t="s">
        <v>2072</v>
      </c>
      <c r="B488" s="252"/>
      <c r="C488" s="252"/>
      <c r="D488" s="252"/>
    </row>
    <row r="489" spans="1:4" x14ac:dyDescent="0.35">
      <c r="A489" s="252" t="s">
        <v>2073</v>
      </c>
      <c r="B489" s="252"/>
      <c r="C489" s="252"/>
      <c r="D489" s="252"/>
    </row>
    <row r="490" spans="1:4" x14ac:dyDescent="0.35">
      <c r="A490" s="252" t="s">
        <v>2074</v>
      </c>
      <c r="B490" s="252"/>
      <c r="C490" s="252"/>
      <c r="D490" s="252"/>
    </row>
    <row r="491" spans="1:4" x14ac:dyDescent="0.35">
      <c r="A491" s="252" t="s">
        <v>2075</v>
      </c>
      <c r="B491" s="252"/>
      <c r="C491" s="252"/>
      <c r="D491" s="252"/>
    </row>
    <row r="492" spans="1:4" x14ac:dyDescent="0.35">
      <c r="A492" s="252" t="s">
        <v>2076</v>
      </c>
      <c r="B492" s="252"/>
      <c r="C492" s="252"/>
      <c r="D492" s="252"/>
    </row>
    <row r="493" spans="1:4" x14ac:dyDescent="0.35">
      <c r="A493" s="252" t="s">
        <v>2077</v>
      </c>
      <c r="B493" s="252"/>
      <c r="C493" s="252"/>
      <c r="D493" s="252"/>
    </row>
    <row r="494" spans="1:4" x14ac:dyDescent="0.35">
      <c r="A494" s="252" t="s">
        <v>2078</v>
      </c>
      <c r="B494" s="252"/>
      <c r="C494" s="252"/>
      <c r="D494" s="252"/>
    </row>
    <row r="495" spans="1:4" x14ac:dyDescent="0.35">
      <c r="A495" s="252" t="s">
        <v>2079</v>
      </c>
      <c r="B495" s="252"/>
      <c r="C495" s="252"/>
      <c r="D495" s="252"/>
    </row>
    <row r="496" spans="1:4" x14ac:dyDescent="0.35">
      <c r="A496" s="252" t="s">
        <v>2080</v>
      </c>
      <c r="B496" s="252"/>
      <c r="C496" s="252"/>
      <c r="D496" s="252"/>
    </row>
    <row r="497" spans="1:4" x14ac:dyDescent="0.35">
      <c r="A497" s="252" t="s">
        <v>2081</v>
      </c>
      <c r="B497" s="252"/>
      <c r="C497" s="252"/>
      <c r="D497" s="252"/>
    </row>
    <row r="498" spans="1:4" x14ac:dyDescent="0.35">
      <c r="A498" s="252" t="s">
        <v>2082</v>
      </c>
      <c r="B498" s="252"/>
      <c r="C498" s="252"/>
      <c r="D498" s="252"/>
    </row>
    <row r="499" spans="1:4" x14ac:dyDescent="0.35">
      <c r="A499" s="252" t="s">
        <v>2083</v>
      </c>
      <c r="B499" s="252"/>
      <c r="C499" s="252"/>
      <c r="D499" s="252"/>
    </row>
    <row r="500" spans="1:4" x14ac:dyDescent="0.35">
      <c r="A500" s="252" t="s">
        <v>2084</v>
      </c>
      <c r="B500" s="252"/>
      <c r="C500" s="252"/>
      <c r="D500" s="252"/>
    </row>
    <row r="501" spans="1:4" x14ac:dyDescent="0.35">
      <c r="A501" s="252" t="s">
        <v>2085</v>
      </c>
      <c r="B501" s="252"/>
      <c r="C501" s="252"/>
      <c r="D501" s="252"/>
    </row>
    <row r="502" spans="1:4" x14ac:dyDescent="0.35">
      <c r="A502" s="252" t="s">
        <v>2086</v>
      </c>
      <c r="B502" s="252"/>
      <c r="C502" s="252"/>
      <c r="D502" s="252"/>
    </row>
    <row r="503" spans="1:4" x14ac:dyDescent="0.35">
      <c r="A503" s="252" t="s">
        <v>2087</v>
      </c>
      <c r="B503" s="252"/>
      <c r="C503" s="252"/>
      <c r="D503" s="252"/>
    </row>
    <row r="504" spans="1:4" x14ac:dyDescent="0.35">
      <c r="A504" s="252" t="s">
        <v>2088</v>
      </c>
      <c r="B504" s="252"/>
      <c r="C504" s="252"/>
      <c r="D504" s="252"/>
    </row>
    <row r="505" spans="1:4" x14ac:dyDescent="0.35">
      <c r="A505" s="252" t="s">
        <v>2089</v>
      </c>
      <c r="B505" s="252"/>
      <c r="C505" s="252"/>
      <c r="D505" s="252"/>
    </row>
    <row r="506" spans="1:4" x14ac:dyDescent="0.35">
      <c r="A506" s="252" t="s">
        <v>2090</v>
      </c>
      <c r="B506" s="252"/>
      <c r="C506" s="252"/>
      <c r="D506" s="252"/>
    </row>
    <row r="507" spans="1:4" x14ac:dyDescent="0.35">
      <c r="A507" s="252" t="s">
        <v>2091</v>
      </c>
      <c r="B507" s="252"/>
      <c r="C507" s="252"/>
      <c r="D507" s="252"/>
    </row>
    <row r="508" spans="1:4" x14ac:dyDescent="0.35">
      <c r="A508" s="252" t="s">
        <v>2092</v>
      </c>
      <c r="B508" s="252"/>
      <c r="C508" s="252"/>
      <c r="D508" s="252"/>
    </row>
    <row r="509" spans="1:4" x14ac:dyDescent="0.35">
      <c r="A509" s="252" t="s">
        <v>2093</v>
      </c>
      <c r="B509" s="252"/>
      <c r="C509" s="252"/>
      <c r="D509" s="252"/>
    </row>
    <row r="510" spans="1:4" x14ac:dyDescent="0.35">
      <c r="A510" s="252" t="s">
        <v>2094</v>
      </c>
      <c r="B510" s="252"/>
      <c r="C510" s="252"/>
      <c r="D510" s="252"/>
    </row>
    <row r="511" spans="1:4" x14ac:dyDescent="0.35">
      <c r="A511" s="252" t="s">
        <v>2095</v>
      </c>
      <c r="B511" s="252"/>
      <c r="C511" s="252"/>
      <c r="D511" s="252"/>
    </row>
    <row r="512" spans="1:4" x14ac:dyDescent="0.35">
      <c r="A512" s="252" t="s">
        <v>2096</v>
      </c>
      <c r="B512" s="252"/>
      <c r="C512" s="252"/>
      <c r="D512" s="252"/>
    </row>
    <row r="513" spans="1:4" x14ac:dyDescent="0.35">
      <c r="A513" s="252" t="s">
        <v>2097</v>
      </c>
      <c r="B513" s="252"/>
      <c r="C513" s="252"/>
      <c r="D513" s="252"/>
    </row>
    <row r="514" spans="1:4" x14ac:dyDescent="0.35">
      <c r="A514" s="252" t="s">
        <v>2098</v>
      </c>
      <c r="B514" s="252"/>
      <c r="C514" s="252"/>
      <c r="D514" s="252"/>
    </row>
    <row r="515" spans="1:4" x14ac:dyDescent="0.35">
      <c r="A515" s="252" t="s">
        <v>2099</v>
      </c>
      <c r="B515" s="252"/>
      <c r="C515" s="252"/>
      <c r="D515" s="252"/>
    </row>
    <row r="516" spans="1:4" x14ac:dyDescent="0.35">
      <c r="A516" s="252" t="s">
        <v>2100</v>
      </c>
      <c r="B516" s="252"/>
      <c r="C516" s="252"/>
      <c r="D516" s="252"/>
    </row>
    <row r="517" spans="1:4" x14ac:dyDescent="0.35">
      <c r="A517" s="252" t="s">
        <v>2101</v>
      </c>
      <c r="B517" s="252"/>
      <c r="C517" s="252"/>
      <c r="D517" s="252"/>
    </row>
    <row r="518" spans="1:4" x14ac:dyDescent="0.35">
      <c r="A518" s="252" t="s">
        <v>2102</v>
      </c>
      <c r="B518" s="252"/>
      <c r="C518" s="252"/>
      <c r="D518" s="252"/>
    </row>
    <row r="519" spans="1:4" x14ac:dyDescent="0.35">
      <c r="A519" s="252" t="s">
        <v>2103</v>
      </c>
      <c r="B519" s="252"/>
      <c r="C519" s="252"/>
      <c r="D519" s="252"/>
    </row>
    <row r="520" spans="1:4" x14ac:dyDescent="0.35">
      <c r="A520" s="252" t="s">
        <v>2104</v>
      </c>
      <c r="B520" s="252"/>
      <c r="C520" s="252"/>
      <c r="D520" s="252"/>
    </row>
    <row r="521" spans="1:4" x14ac:dyDescent="0.35">
      <c r="A521" s="252" t="s">
        <v>2105</v>
      </c>
      <c r="B521" s="252"/>
      <c r="C521" s="252"/>
      <c r="D521" s="252"/>
    </row>
    <row r="522" spans="1:4" x14ac:dyDescent="0.35">
      <c r="A522" s="252" t="s">
        <v>2106</v>
      </c>
      <c r="B522" s="252"/>
      <c r="C522" s="252"/>
      <c r="D522" s="252"/>
    </row>
    <row r="523" spans="1:4" x14ac:dyDescent="0.35">
      <c r="A523" s="252" t="s">
        <v>2107</v>
      </c>
      <c r="B523" s="252"/>
      <c r="C523" s="252"/>
      <c r="D523" s="252"/>
    </row>
    <row r="524" spans="1:4" x14ac:dyDescent="0.35">
      <c r="A524" s="252" t="s">
        <v>2108</v>
      </c>
      <c r="B524" s="252"/>
      <c r="C524" s="252"/>
      <c r="D524" s="252"/>
    </row>
    <row r="525" spans="1:4" x14ac:dyDescent="0.35">
      <c r="A525" s="252" t="s">
        <v>2109</v>
      </c>
      <c r="B525" s="252"/>
      <c r="C525" s="252"/>
      <c r="D525" s="252"/>
    </row>
    <row r="526" spans="1:4" x14ac:dyDescent="0.35">
      <c r="A526" s="252" t="s">
        <v>2110</v>
      </c>
      <c r="B526" s="252"/>
      <c r="C526" s="252"/>
      <c r="D526" s="252"/>
    </row>
    <row r="527" spans="1:4" x14ac:dyDescent="0.35">
      <c r="A527" s="252" t="s">
        <v>2111</v>
      </c>
      <c r="B527" s="252"/>
      <c r="C527" s="252"/>
      <c r="D527" s="252"/>
    </row>
    <row r="528" spans="1:4" x14ac:dyDescent="0.35">
      <c r="A528" s="252" t="s">
        <v>2112</v>
      </c>
      <c r="B528" s="252"/>
      <c r="C528" s="252"/>
      <c r="D528" s="252"/>
    </row>
    <row r="529" spans="1:4" x14ac:dyDescent="0.35">
      <c r="A529" s="252" t="s">
        <v>2113</v>
      </c>
      <c r="B529" s="252"/>
      <c r="C529" s="252"/>
      <c r="D529" s="252"/>
    </row>
    <row r="530" spans="1:4" x14ac:dyDescent="0.35">
      <c r="A530" s="252" t="s">
        <v>2114</v>
      </c>
      <c r="B530" s="252"/>
      <c r="C530" s="252"/>
      <c r="D530" s="252"/>
    </row>
    <row r="531" spans="1:4" x14ac:dyDescent="0.35">
      <c r="A531" s="252" t="s">
        <v>2115</v>
      </c>
      <c r="B531" s="252"/>
      <c r="C531" s="252"/>
      <c r="D531" s="252"/>
    </row>
    <row r="532" spans="1:4" x14ac:dyDescent="0.35">
      <c r="A532" s="252" t="s">
        <v>2116</v>
      </c>
      <c r="B532" s="252"/>
      <c r="C532" s="252"/>
      <c r="D532" s="252"/>
    </row>
    <row r="533" spans="1:4" x14ac:dyDescent="0.35">
      <c r="A533" s="252" t="s">
        <v>2117</v>
      </c>
      <c r="B533" s="252"/>
      <c r="C533" s="252"/>
      <c r="D533" s="252"/>
    </row>
    <row r="534" spans="1:4" x14ac:dyDescent="0.35">
      <c r="A534" s="252" t="s">
        <v>2118</v>
      </c>
      <c r="B534" s="252"/>
      <c r="C534" s="252"/>
      <c r="D534" s="252"/>
    </row>
    <row r="535" spans="1:4" x14ac:dyDescent="0.35">
      <c r="A535" s="252" t="s">
        <v>2119</v>
      </c>
      <c r="B535" s="252"/>
      <c r="C535" s="252"/>
      <c r="D535" s="252"/>
    </row>
    <row r="536" spans="1:4" x14ac:dyDescent="0.35">
      <c r="A536" s="252" t="s">
        <v>2120</v>
      </c>
      <c r="B536" s="252"/>
      <c r="C536" s="252"/>
      <c r="D536" s="252"/>
    </row>
    <row r="537" spans="1:4" x14ac:dyDescent="0.35">
      <c r="A537" s="252" t="s">
        <v>2121</v>
      </c>
      <c r="B537" s="252"/>
      <c r="C537" s="252"/>
      <c r="D537" s="252"/>
    </row>
    <row r="538" spans="1:4" x14ac:dyDescent="0.35">
      <c r="A538" s="252" t="s">
        <v>2122</v>
      </c>
      <c r="B538" s="252"/>
      <c r="C538" s="252"/>
      <c r="D538" s="252"/>
    </row>
    <row r="539" spans="1:4" x14ac:dyDescent="0.35">
      <c r="A539" s="252" t="s">
        <v>2123</v>
      </c>
      <c r="B539" s="252"/>
      <c r="C539" s="252"/>
      <c r="D539" s="252"/>
    </row>
    <row r="540" spans="1:4" x14ac:dyDescent="0.35">
      <c r="A540" s="252" t="s">
        <v>2124</v>
      </c>
      <c r="B540" s="252"/>
      <c r="C540" s="252"/>
      <c r="D540" s="252"/>
    </row>
    <row r="541" spans="1:4" x14ac:dyDescent="0.35">
      <c r="A541" s="252" t="s">
        <v>2125</v>
      </c>
      <c r="B541" s="252"/>
      <c r="C541" s="252"/>
      <c r="D541" s="252"/>
    </row>
    <row r="542" spans="1:4" x14ac:dyDescent="0.35">
      <c r="A542" s="252" t="s">
        <v>2126</v>
      </c>
      <c r="B542" s="252"/>
      <c r="C542" s="252"/>
      <c r="D542" s="252"/>
    </row>
    <row r="543" spans="1:4" x14ac:dyDescent="0.35">
      <c r="A543" s="252" t="s">
        <v>2127</v>
      </c>
      <c r="B543" s="252"/>
      <c r="C543" s="252"/>
      <c r="D543" s="252"/>
    </row>
    <row r="544" spans="1:4" x14ac:dyDescent="0.35">
      <c r="A544" s="252" t="s">
        <v>2128</v>
      </c>
      <c r="B544" s="252"/>
      <c r="C544" s="252"/>
      <c r="D544" s="252"/>
    </row>
    <row r="545" spans="1:4" x14ac:dyDescent="0.35">
      <c r="A545" s="252" t="s">
        <v>2129</v>
      </c>
      <c r="B545" s="252"/>
      <c r="C545" s="252"/>
      <c r="D545" s="252"/>
    </row>
    <row r="546" spans="1:4" x14ac:dyDescent="0.35">
      <c r="A546" s="252" t="s">
        <v>2130</v>
      </c>
      <c r="B546" s="252"/>
      <c r="C546" s="252"/>
      <c r="D546" s="252"/>
    </row>
    <row r="547" spans="1:4" x14ac:dyDescent="0.35">
      <c r="A547" s="252" t="s">
        <v>2131</v>
      </c>
      <c r="B547" s="252"/>
      <c r="C547" s="252"/>
      <c r="D547" s="252"/>
    </row>
    <row r="548" spans="1:4" x14ac:dyDescent="0.35">
      <c r="A548" s="252" t="s">
        <v>2132</v>
      </c>
      <c r="B548" s="252"/>
      <c r="C548" s="252"/>
      <c r="D548" s="252"/>
    </row>
    <row r="549" spans="1:4" x14ac:dyDescent="0.35">
      <c r="A549" s="252" t="s">
        <v>2133</v>
      </c>
      <c r="B549" s="252"/>
      <c r="C549" s="252"/>
      <c r="D549" s="252"/>
    </row>
    <row r="550" spans="1:4" x14ac:dyDescent="0.35">
      <c r="A550" s="252" t="s">
        <v>2134</v>
      </c>
      <c r="B550" s="252"/>
      <c r="C550" s="252"/>
      <c r="D550" s="252"/>
    </row>
    <row r="551" spans="1:4" x14ac:dyDescent="0.35">
      <c r="A551" s="252" t="s">
        <v>2135</v>
      </c>
      <c r="B551" s="252"/>
      <c r="C551" s="252"/>
      <c r="D551" s="252"/>
    </row>
    <row r="552" spans="1:4" x14ac:dyDescent="0.35">
      <c r="A552" s="252" t="s">
        <v>2136</v>
      </c>
      <c r="B552" s="252"/>
      <c r="C552" s="252"/>
      <c r="D552" s="252"/>
    </row>
    <row r="553" spans="1:4" x14ac:dyDescent="0.35">
      <c r="A553" s="252" t="s">
        <v>2137</v>
      </c>
      <c r="B553" s="252"/>
      <c r="C553" s="252"/>
      <c r="D553" s="252"/>
    </row>
    <row r="554" spans="1:4" x14ac:dyDescent="0.35">
      <c r="A554" s="252" t="s">
        <v>2138</v>
      </c>
      <c r="B554" s="252"/>
      <c r="C554" s="252"/>
      <c r="D554" s="252"/>
    </row>
    <row r="555" spans="1:4" x14ac:dyDescent="0.35">
      <c r="A555" s="252" t="s">
        <v>2139</v>
      </c>
      <c r="B555" s="252"/>
      <c r="C555" s="252"/>
      <c r="D555" s="252"/>
    </row>
    <row r="556" spans="1:4" x14ac:dyDescent="0.35">
      <c r="A556" s="252" t="s">
        <v>2140</v>
      </c>
      <c r="B556" s="252"/>
      <c r="C556" s="252"/>
      <c r="D556" s="252"/>
    </row>
    <row r="557" spans="1:4" x14ac:dyDescent="0.35">
      <c r="A557" s="252" t="s">
        <v>2141</v>
      </c>
      <c r="B557" s="252"/>
      <c r="C557" s="252"/>
      <c r="D557" s="252"/>
    </row>
    <row r="558" spans="1:4" x14ac:dyDescent="0.35">
      <c r="A558" s="252" t="s">
        <v>2142</v>
      </c>
      <c r="B558" s="252"/>
      <c r="C558" s="252"/>
      <c r="D558" s="252"/>
    </row>
    <row r="559" spans="1:4" x14ac:dyDescent="0.35">
      <c r="A559" s="252" t="s">
        <v>2143</v>
      </c>
      <c r="B559" s="252"/>
      <c r="C559" s="252"/>
      <c r="D559" s="252"/>
    </row>
    <row r="560" spans="1:4" x14ac:dyDescent="0.35">
      <c r="A560" s="252" t="s">
        <v>2144</v>
      </c>
      <c r="B560" s="252"/>
      <c r="C560" s="252"/>
      <c r="D560" s="252"/>
    </row>
    <row r="561" spans="1:4" x14ac:dyDescent="0.35">
      <c r="A561" s="252" t="s">
        <v>2145</v>
      </c>
      <c r="B561" s="252"/>
      <c r="C561" s="252"/>
      <c r="D561" s="252"/>
    </row>
    <row r="562" spans="1:4" x14ac:dyDescent="0.35">
      <c r="A562" s="252" t="s">
        <v>2146</v>
      </c>
      <c r="B562" s="252"/>
      <c r="C562" s="252"/>
      <c r="D562" s="252"/>
    </row>
    <row r="563" spans="1:4" x14ac:dyDescent="0.35">
      <c r="A563" s="252" t="s">
        <v>2147</v>
      </c>
      <c r="B563" s="252"/>
      <c r="C563" s="252"/>
      <c r="D563" s="252"/>
    </row>
    <row r="564" spans="1:4" x14ac:dyDescent="0.35">
      <c r="A564" s="252" t="s">
        <v>2148</v>
      </c>
      <c r="B564" s="252"/>
      <c r="C564" s="252"/>
      <c r="D564" s="252"/>
    </row>
    <row r="565" spans="1:4" x14ac:dyDescent="0.35">
      <c r="A565" s="252" t="s">
        <v>2149</v>
      </c>
      <c r="B565" s="252"/>
      <c r="C565" s="252"/>
      <c r="D565" s="252"/>
    </row>
    <row r="566" spans="1:4" x14ac:dyDescent="0.35">
      <c r="A566" s="252" t="s">
        <v>2150</v>
      </c>
      <c r="B566" s="252"/>
      <c r="C566" s="252"/>
      <c r="D566" s="252"/>
    </row>
    <row r="567" spans="1:4" x14ac:dyDescent="0.35">
      <c r="A567" s="252" t="s">
        <v>2151</v>
      </c>
      <c r="B567" s="252"/>
      <c r="C567" s="252"/>
      <c r="D567" s="252"/>
    </row>
    <row r="568" spans="1:4" x14ac:dyDescent="0.35">
      <c r="A568" s="252" t="s">
        <v>2152</v>
      </c>
      <c r="B568" s="252"/>
      <c r="C568" s="252"/>
      <c r="D568" s="252"/>
    </row>
    <row r="569" spans="1:4" x14ac:dyDescent="0.35">
      <c r="A569" s="252" t="s">
        <v>2153</v>
      </c>
      <c r="B569" s="252"/>
      <c r="C569" s="252"/>
      <c r="D569" s="252"/>
    </row>
    <row r="570" spans="1:4" x14ac:dyDescent="0.35">
      <c r="A570" s="252" t="s">
        <v>2154</v>
      </c>
      <c r="B570" s="252"/>
      <c r="C570" s="252"/>
      <c r="D570" s="252"/>
    </row>
    <row r="571" spans="1:4" x14ac:dyDescent="0.35">
      <c r="A571" s="252" t="s">
        <v>2155</v>
      </c>
      <c r="B571" s="252"/>
      <c r="C571" s="252"/>
      <c r="D571" s="252"/>
    </row>
    <row r="572" spans="1:4" x14ac:dyDescent="0.35">
      <c r="A572" s="252" t="s">
        <v>2156</v>
      </c>
      <c r="B572" s="252"/>
      <c r="C572" s="252"/>
      <c r="D572" s="252"/>
    </row>
    <row r="573" spans="1:4" x14ac:dyDescent="0.35">
      <c r="A573" s="252" t="s">
        <v>2157</v>
      </c>
      <c r="B573" s="252"/>
      <c r="C573" s="252"/>
      <c r="D573" s="252"/>
    </row>
    <row r="574" spans="1:4" x14ac:dyDescent="0.35">
      <c r="A574" s="252" t="s">
        <v>2158</v>
      </c>
      <c r="B574" s="252"/>
      <c r="C574" s="252"/>
      <c r="D574" s="252"/>
    </row>
    <row r="575" spans="1:4" x14ac:dyDescent="0.35">
      <c r="A575" s="252" t="s">
        <v>2159</v>
      </c>
      <c r="B575" s="252"/>
      <c r="C575" s="252"/>
      <c r="D575" s="252"/>
    </row>
    <row r="576" spans="1:4" x14ac:dyDescent="0.35">
      <c r="A576" s="252" t="s">
        <v>2160</v>
      </c>
      <c r="B576" s="252"/>
      <c r="C576" s="252"/>
      <c r="D576" s="252"/>
    </row>
    <row r="577" spans="1:4" x14ac:dyDescent="0.35">
      <c r="A577" s="252" t="s">
        <v>2161</v>
      </c>
      <c r="B577" s="252"/>
      <c r="C577" s="252"/>
      <c r="D577" s="252"/>
    </row>
    <row r="578" spans="1:4" x14ac:dyDescent="0.35">
      <c r="A578" s="252" t="s">
        <v>2162</v>
      </c>
      <c r="B578" s="252"/>
      <c r="C578" s="252"/>
      <c r="D578" s="252"/>
    </row>
    <row r="579" spans="1:4" x14ac:dyDescent="0.35">
      <c r="A579" s="252" t="s">
        <v>2163</v>
      </c>
      <c r="B579" s="252"/>
      <c r="C579" s="252"/>
      <c r="D579" s="252"/>
    </row>
    <row r="580" spans="1:4" x14ac:dyDescent="0.35">
      <c r="A580" s="252" t="s">
        <v>2164</v>
      </c>
      <c r="B580" s="252"/>
      <c r="C580" s="252"/>
      <c r="D580" s="252"/>
    </row>
    <row r="581" spans="1:4" x14ac:dyDescent="0.35">
      <c r="A581" s="252" t="s">
        <v>2165</v>
      </c>
      <c r="B581" s="252"/>
      <c r="C581" s="252"/>
      <c r="D581" s="252"/>
    </row>
    <row r="582" spans="1:4" x14ac:dyDescent="0.35">
      <c r="A582" s="252" t="s">
        <v>2166</v>
      </c>
      <c r="B582" s="252"/>
      <c r="C582" s="252"/>
      <c r="D582" s="252"/>
    </row>
    <row r="583" spans="1:4" x14ac:dyDescent="0.35">
      <c r="A583" s="252" t="s">
        <v>2167</v>
      </c>
      <c r="B583" s="252"/>
      <c r="C583" s="252"/>
      <c r="D583" s="252"/>
    </row>
    <row r="584" spans="1:4" x14ac:dyDescent="0.35">
      <c r="A584" s="252" t="s">
        <v>2168</v>
      </c>
      <c r="B584" s="252"/>
      <c r="C584" s="252"/>
      <c r="D584" s="252"/>
    </row>
    <row r="585" spans="1:4" x14ac:dyDescent="0.35">
      <c r="A585" s="252" t="s">
        <v>2169</v>
      </c>
      <c r="B585" s="252"/>
      <c r="C585" s="252"/>
      <c r="D585" s="252"/>
    </row>
    <row r="586" spans="1:4" x14ac:dyDescent="0.35">
      <c r="A586" s="252" t="s">
        <v>2170</v>
      </c>
      <c r="B586" s="252"/>
      <c r="C586" s="252"/>
      <c r="D586" s="252"/>
    </row>
    <row r="587" spans="1:4" x14ac:dyDescent="0.35">
      <c r="A587" s="252" t="s">
        <v>2171</v>
      </c>
      <c r="B587" s="252"/>
      <c r="C587" s="252"/>
      <c r="D587" s="252"/>
    </row>
    <row r="588" spans="1:4" x14ac:dyDescent="0.35">
      <c r="A588" s="252" t="s">
        <v>2172</v>
      </c>
      <c r="B588" s="252"/>
      <c r="C588" s="252"/>
      <c r="D588" s="252"/>
    </row>
    <row r="589" spans="1:4" x14ac:dyDescent="0.35">
      <c r="A589" s="252" t="s">
        <v>2173</v>
      </c>
      <c r="B589" s="252"/>
      <c r="C589" s="252"/>
      <c r="D589" s="252"/>
    </row>
    <row r="590" spans="1:4" x14ac:dyDescent="0.35">
      <c r="A590" s="252" t="s">
        <v>2174</v>
      </c>
      <c r="B590" s="252"/>
      <c r="C590" s="252"/>
      <c r="D590" s="252"/>
    </row>
    <row r="591" spans="1:4" x14ac:dyDescent="0.35">
      <c r="A591" s="252" t="s">
        <v>2175</v>
      </c>
      <c r="B591" s="252"/>
      <c r="C591" s="252"/>
      <c r="D591" s="252"/>
    </row>
    <row r="592" spans="1:4" x14ac:dyDescent="0.35">
      <c r="A592" s="252" t="s">
        <v>2176</v>
      </c>
      <c r="B592" s="252"/>
      <c r="C592" s="252"/>
      <c r="D592" s="252"/>
    </row>
    <row r="593" spans="1:4" x14ac:dyDescent="0.35">
      <c r="A593" s="252" t="s">
        <v>2177</v>
      </c>
      <c r="B593" s="252"/>
      <c r="C593" s="252"/>
      <c r="D593" s="252"/>
    </row>
    <row r="594" spans="1:4" x14ac:dyDescent="0.35">
      <c r="A594" s="252" t="s">
        <v>2178</v>
      </c>
      <c r="B594" s="252"/>
      <c r="C594" s="252"/>
      <c r="D594" s="252"/>
    </row>
    <row r="595" spans="1:4" x14ac:dyDescent="0.35">
      <c r="A595" s="252" t="s">
        <v>2179</v>
      </c>
      <c r="B595" s="252"/>
      <c r="C595" s="252"/>
      <c r="D595" s="252"/>
    </row>
    <row r="596" spans="1:4" x14ac:dyDescent="0.35">
      <c r="A596" s="252" t="s">
        <v>2180</v>
      </c>
      <c r="B596" s="252"/>
      <c r="C596" s="252"/>
      <c r="D596" s="252"/>
    </row>
    <row r="597" spans="1:4" x14ac:dyDescent="0.35">
      <c r="A597" s="252" t="s">
        <v>2181</v>
      </c>
      <c r="B597" s="252"/>
      <c r="C597" s="252"/>
      <c r="D597" s="252"/>
    </row>
    <row r="598" spans="1:4" x14ac:dyDescent="0.35">
      <c r="A598" s="252" t="s">
        <v>2182</v>
      </c>
      <c r="B598" s="252"/>
      <c r="C598" s="252"/>
      <c r="D598" s="252"/>
    </row>
    <row r="599" spans="1:4" x14ac:dyDescent="0.35">
      <c r="A599" s="252" t="s">
        <v>2183</v>
      </c>
      <c r="B599" s="252"/>
      <c r="C599" s="252"/>
      <c r="D599" s="252"/>
    </row>
    <row r="600" spans="1:4" x14ac:dyDescent="0.35">
      <c r="A600" s="252" t="s">
        <v>2184</v>
      </c>
      <c r="B600" s="252"/>
      <c r="C600" s="252"/>
      <c r="D600" s="252"/>
    </row>
    <row r="601" spans="1:4" x14ac:dyDescent="0.35">
      <c r="A601" s="252" t="s">
        <v>2185</v>
      </c>
      <c r="B601" s="252"/>
      <c r="C601" s="252"/>
      <c r="D601" s="252"/>
    </row>
    <row r="602" spans="1:4" x14ac:dyDescent="0.35">
      <c r="A602" s="252" t="s">
        <v>2186</v>
      </c>
      <c r="B602" s="252"/>
      <c r="C602" s="252"/>
      <c r="D602" s="252"/>
    </row>
    <row r="603" spans="1:4" x14ac:dyDescent="0.35">
      <c r="A603" s="252" t="s">
        <v>2187</v>
      </c>
      <c r="B603" s="252"/>
      <c r="C603" s="252"/>
      <c r="D603" s="252"/>
    </row>
    <row r="604" spans="1:4" x14ac:dyDescent="0.35">
      <c r="A604" s="252" t="s">
        <v>2188</v>
      </c>
      <c r="B604" s="252"/>
      <c r="C604" s="252"/>
      <c r="D604" s="252"/>
    </row>
    <row r="605" spans="1:4" x14ac:dyDescent="0.35">
      <c r="A605" s="252" t="s">
        <v>2189</v>
      </c>
      <c r="B605" s="252"/>
      <c r="C605" s="252"/>
      <c r="D605" s="252"/>
    </row>
    <row r="606" spans="1:4" x14ac:dyDescent="0.35">
      <c r="A606" s="252" t="s">
        <v>2190</v>
      </c>
      <c r="B606" s="252"/>
      <c r="C606" s="252"/>
      <c r="D606" s="252"/>
    </row>
    <row r="607" spans="1:4" x14ac:dyDescent="0.35">
      <c r="A607" s="252" t="s">
        <v>2191</v>
      </c>
      <c r="B607" s="252"/>
      <c r="C607" s="252"/>
      <c r="D607" s="252"/>
    </row>
    <row r="608" spans="1:4" x14ac:dyDescent="0.35">
      <c r="A608" s="252" t="s">
        <v>2192</v>
      </c>
      <c r="B608" s="252"/>
      <c r="C608" s="252"/>
      <c r="D608" s="252"/>
    </row>
    <row r="609" spans="1:4" x14ac:dyDescent="0.35">
      <c r="A609" s="252" t="s">
        <v>2193</v>
      </c>
      <c r="B609" s="252"/>
      <c r="C609" s="252"/>
      <c r="D609" s="252"/>
    </row>
    <row r="610" spans="1:4" x14ac:dyDescent="0.35">
      <c r="A610" s="252" t="s">
        <v>2194</v>
      </c>
      <c r="B610" s="252"/>
      <c r="C610" s="252"/>
      <c r="D610" s="252"/>
    </row>
    <row r="611" spans="1:4" x14ac:dyDescent="0.35">
      <c r="A611" s="252" t="s">
        <v>2195</v>
      </c>
      <c r="B611" s="252"/>
      <c r="C611" s="252"/>
      <c r="D611" s="252"/>
    </row>
    <row r="612" spans="1:4" x14ac:dyDescent="0.35">
      <c r="A612" s="252" t="s">
        <v>2196</v>
      </c>
      <c r="B612" s="252"/>
      <c r="C612" s="252"/>
      <c r="D612" s="252"/>
    </row>
    <row r="613" spans="1:4" x14ac:dyDescent="0.35">
      <c r="A613" s="252" t="s">
        <v>2197</v>
      </c>
      <c r="B613" s="252"/>
      <c r="C613" s="252"/>
      <c r="D613" s="252"/>
    </row>
    <row r="614" spans="1:4" x14ac:dyDescent="0.35">
      <c r="A614" s="252" t="s">
        <v>2198</v>
      </c>
      <c r="B614" s="252"/>
      <c r="C614" s="252"/>
      <c r="D614" s="252"/>
    </row>
    <row r="615" spans="1:4" x14ac:dyDescent="0.35">
      <c r="A615" s="252" t="s">
        <v>2199</v>
      </c>
      <c r="B615" s="252"/>
      <c r="C615" s="252"/>
      <c r="D615" s="252"/>
    </row>
    <row r="616" spans="1:4" x14ac:dyDescent="0.35">
      <c r="A616" s="252" t="s">
        <v>2200</v>
      </c>
      <c r="B616" s="252"/>
      <c r="C616" s="252"/>
      <c r="D616" s="252"/>
    </row>
    <row r="617" spans="1:4" x14ac:dyDescent="0.35">
      <c r="A617" s="252" t="s">
        <v>2201</v>
      </c>
      <c r="B617" s="252"/>
      <c r="C617" s="252"/>
      <c r="D617" s="252"/>
    </row>
    <row r="618" spans="1:4" x14ac:dyDescent="0.35">
      <c r="A618" s="252" t="s">
        <v>2202</v>
      </c>
      <c r="B618" s="252"/>
      <c r="C618" s="252"/>
      <c r="D618" s="252"/>
    </row>
    <row r="619" spans="1:4" x14ac:dyDescent="0.35">
      <c r="A619" s="252" t="s">
        <v>2203</v>
      </c>
      <c r="B619" s="252"/>
      <c r="C619" s="252"/>
      <c r="D619" s="252"/>
    </row>
    <row r="620" spans="1:4" x14ac:dyDescent="0.35">
      <c r="A620" s="252" t="s">
        <v>2204</v>
      </c>
      <c r="B620" s="252"/>
      <c r="C620" s="252"/>
      <c r="D620" s="252"/>
    </row>
    <row r="621" spans="1:4" x14ac:dyDescent="0.35">
      <c r="A621" s="252" t="s">
        <v>2205</v>
      </c>
      <c r="B621" s="252"/>
      <c r="C621" s="252"/>
      <c r="D621" s="252"/>
    </row>
    <row r="622" spans="1:4" x14ac:dyDescent="0.35">
      <c r="A622" s="252" t="s">
        <v>2206</v>
      </c>
      <c r="B622" s="252"/>
      <c r="C622" s="252"/>
      <c r="D622" s="252"/>
    </row>
    <row r="623" spans="1:4" x14ac:dyDescent="0.35">
      <c r="A623" s="252" t="s">
        <v>2207</v>
      </c>
      <c r="B623" s="252"/>
      <c r="C623" s="252"/>
      <c r="D623" s="252"/>
    </row>
    <row r="624" spans="1:4" x14ac:dyDescent="0.35">
      <c r="A624" s="252" t="s">
        <v>2208</v>
      </c>
      <c r="B624" s="252"/>
      <c r="C624" s="252"/>
      <c r="D624" s="252"/>
    </row>
    <row r="625" spans="1:4" x14ac:dyDescent="0.35">
      <c r="A625" s="252" t="s">
        <v>2209</v>
      </c>
      <c r="B625" s="252"/>
      <c r="C625" s="252"/>
      <c r="D625" s="252"/>
    </row>
    <row r="626" spans="1:4" x14ac:dyDescent="0.35">
      <c r="A626" s="252" t="s">
        <v>2210</v>
      </c>
      <c r="B626" s="252"/>
      <c r="C626" s="252"/>
      <c r="D626" s="252"/>
    </row>
    <row r="627" spans="1:4" x14ac:dyDescent="0.35">
      <c r="A627" s="252" t="s">
        <v>2211</v>
      </c>
      <c r="B627" s="252"/>
      <c r="C627" s="252"/>
      <c r="D627" s="252"/>
    </row>
    <row r="628" spans="1:4" x14ac:dyDescent="0.35">
      <c r="A628" s="252" t="s">
        <v>2212</v>
      </c>
      <c r="B628" s="252"/>
      <c r="C628" s="252"/>
      <c r="D628" s="252"/>
    </row>
    <row r="629" spans="1:4" x14ac:dyDescent="0.35">
      <c r="A629" s="252" t="s">
        <v>2213</v>
      </c>
      <c r="B629" s="252"/>
      <c r="C629" s="252"/>
      <c r="D629" s="252"/>
    </row>
    <row r="630" spans="1:4" x14ac:dyDescent="0.35">
      <c r="A630" s="252" t="s">
        <v>2214</v>
      </c>
      <c r="B630" s="252"/>
      <c r="C630" s="252"/>
      <c r="D630" s="252"/>
    </row>
    <row r="631" spans="1:4" x14ac:dyDescent="0.35">
      <c r="A631" s="252" t="s">
        <v>2215</v>
      </c>
      <c r="B631" s="252"/>
      <c r="C631" s="252"/>
      <c r="D631" s="252"/>
    </row>
    <row r="632" spans="1:4" x14ac:dyDescent="0.35">
      <c r="A632" s="252" t="s">
        <v>2216</v>
      </c>
      <c r="B632" s="252"/>
      <c r="C632" s="252"/>
      <c r="D632" s="252"/>
    </row>
    <row r="633" spans="1:4" x14ac:dyDescent="0.35">
      <c r="A633" s="252" t="s">
        <v>2217</v>
      </c>
      <c r="B633" s="252"/>
      <c r="C633" s="252"/>
      <c r="D633" s="252"/>
    </row>
    <row r="634" spans="1:4" x14ac:dyDescent="0.35">
      <c r="A634" s="252" t="s">
        <v>2218</v>
      </c>
      <c r="B634" s="252"/>
      <c r="C634" s="252"/>
      <c r="D634" s="252"/>
    </row>
    <row r="635" spans="1:4" x14ac:dyDescent="0.35">
      <c r="A635" s="252" t="s">
        <v>2219</v>
      </c>
      <c r="B635" s="252"/>
      <c r="C635" s="252"/>
      <c r="D635" s="252"/>
    </row>
    <row r="636" spans="1:4" x14ac:dyDescent="0.35">
      <c r="A636" s="252" t="s">
        <v>2220</v>
      </c>
      <c r="B636" s="252"/>
      <c r="C636" s="252"/>
      <c r="D636" s="252"/>
    </row>
    <row r="637" spans="1:4" x14ac:dyDescent="0.35">
      <c r="A637" s="252" t="s">
        <v>2221</v>
      </c>
      <c r="B637" s="252"/>
      <c r="C637" s="252"/>
      <c r="D637" s="252"/>
    </row>
    <row r="638" spans="1:4" x14ac:dyDescent="0.35">
      <c r="A638" s="252" t="s">
        <v>2222</v>
      </c>
      <c r="B638" s="252"/>
      <c r="C638" s="252"/>
      <c r="D638" s="252"/>
    </row>
    <row r="639" spans="1:4" x14ac:dyDescent="0.35">
      <c r="A639" s="252" t="s">
        <v>2223</v>
      </c>
      <c r="B639" s="252"/>
      <c r="C639" s="252"/>
      <c r="D639" s="252"/>
    </row>
    <row r="640" spans="1:4" x14ac:dyDescent="0.35">
      <c r="A640" s="252" t="s">
        <v>2224</v>
      </c>
      <c r="B640" s="252"/>
      <c r="C640" s="252"/>
      <c r="D640" s="252"/>
    </row>
    <row r="641" spans="1:4" x14ac:dyDescent="0.35">
      <c r="A641" s="252" t="s">
        <v>2225</v>
      </c>
      <c r="B641" s="252"/>
      <c r="C641" s="252"/>
      <c r="D641" s="252"/>
    </row>
    <row r="642" spans="1:4" x14ac:dyDescent="0.35">
      <c r="A642" s="252" t="s">
        <v>2226</v>
      </c>
      <c r="B642" s="252"/>
      <c r="C642" s="252"/>
      <c r="D642" s="252"/>
    </row>
    <row r="643" spans="1:4" x14ac:dyDescent="0.35">
      <c r="A643" s="252" t="s">
        <v>2227</v>
      </c>
      <c r="B643" s="252"/>
      <c r="C643" s="252"/>
      <c r="D643" s="252"/>
    </row>
    <row r="644" spans="1:4" x14ac:dyDescent="0.35">
      <c r="A644" s="252" t="s">
        <v>2228</v>
      </c>
      <c r="B644" s="252"/>
      <c r="C644" s="252"/>
      <c r="D644" s="252"/>
    </row>
    <row r="645" spans="1:4" x14ac:dyDescent="0.35">
      <c r="A645" s="252" t="s">
        <v>2229</v>
      </c>
      <c r="B645" s="252"/>
      <c r="C645" s="252"/>
      <c r="D645" s="252"/>
    </row>
    <row r="646" spans="1:4" x14ac:dyDescent="0.35">
      <c r="A646" s="252" t="s">
        <v>2230</v>
      </c>
      <c r="B646" s="252"/>
      <c r="C646" s="252"/>
      <c r="D646" s="252"/>
    </row>
    <row r="647" spans="1:4" x14ac:dyDescent="0.35">
      <c r="A647" s="252" t="s">
        <v>2231</v>
      </c>
      <c r="B647" s="252"/>
      <c r="C647" s="252"/>
      <c r="D647" s="252"/>
    </row>
    <row r="648" spans="1:4" x14ac:dyDescent="0.35">
      <c r="A648" s="252" t="s">
        <v>2232</v>
      </c>
      <c r="B648" s="252"/>
      <c r="C648" s="252"/>
      <c r="D648" s="252"/>
    </row>
    <row r="649" spans="1:4" x14ac:dyDescent="0.35">
      <c r="A649" s="252" t="s">
        <v>2233</v>
      </c>
      <c r="B649" s="252"/>
      <c r="C649" s="252"/>
      <c r="D649" s="252"/>
    </row>
    <row r="650" spans="1:4" x14ac:dyDescent="0.35">
      <c r="A650" s="252" t="s">
        <v>2234</v>
      </c>
      <c r="B650" s="252"/>
      <c r="C650" s="252"/>
      <c r="D650" s="252"/>
    </row>
    <row r="651" spans="1:4" x14ac:dyDescent="0.35">
      <c r="A651" s="252" t="s">
        <v>2235</v>
      </c>
      <c r="B651" s="252"/>
      <c r="C651" s="252"/>
      <c r="D651" s="252"/>
    </row>
    <row r="652" spans="1:4" x14ac:dyDescent="0.35">
      <c r="A652" s="252" t="s">
        <v>2236</v>
      </c>
      <c r="B652" s="252"/>
      <c r="C652" s="252"/>
      <c r="D652" s="252"/>
    </row>
    <row r="653" spans="1:4" x14ac:dyDescent="0.35">
      <c r="A653" s="252" t="s">
        <v>2237</v>
      </c>
      <c r="B653" s="252"/>
      <c r="C653" s="252"/>
      <c r="D653" s="252"/>
    </row>
    <row r="654" spans="1:4" x14ac:dyDescent="0.35">
      <c r="A654" s="252" t="s">
        <v>2238</v>
      </c>
      <c r="B654" s="252"/>
      <c r="C654" s="252"/>
      <c r="D654" s="252"/>
    </row>
    <row r="655" spans="1:4" x14ac:dyDescent="0.35">
      <c r="A655" s="252" t="s">
        <v>2239</v>
      </c>
      <c r="B655" s="252"/>
      <c r="C655" s="252"/>
      <c r="D655" s="252"/>
    </row>
    <row r="656" spans="1:4" x14ac:dyDescent="0.35">
      <c r="A656" s="252" t="s">
        <v>2240</v>
      </c>
      <c r="B656" s="252"/>
      <c r="C656" s="252"/>
      <c r="D656" s="252"/>
    </row>
    <row r="657" spans="1:4" x14ac:dyDescent="0.35">
      <c r="A657" s="252" t="s">
        <v>2241</v>
      </c>
      <c r="B657" s="252"/>
      <c r="C657" s="252"/>
      <c r="D657" s="252"/>
    </row>
    <row r="658" spans="1:4" x14ac:dyDescent="0.35">
      <c r="A658" s="252" t="s">
        <v>2242</v>
      </c>
      <c r="B658" s="252"/>
      <c r="C658" s="252"/>
      <c r="D658" s="252"/>
    </row>
    <row r="659" spans="1:4" x14ac:dyDescent="0.35">
      <c r="A659" s="252" t="s">
        <v>2243</v>
      </c>
      <c r="B659" s="252"/>
      <c r="C659" s="252"/>
      <c r="D659" s="252"/>
    </row>
    <row r="660" spans="1:4" x14ac:dyDescent="0.35">
      <c r="A660" s="252" t="s">
        <v>2244</v>
      </c>
      <c r="B660" s="252"/>
      <c r="C660" s="252"/>
      <c r="D660" s="252"/>
    </row>
    <row r="661" spans="1:4" x14ac:dyDescent="0.35">
      <c r="A661" s="252" t="s">
        <v>2245</v>
      </c>
      <c r="B661" s="252"/>
      <c r="C661" s="252"/>
      <c r="D661" s="252"/>
    </row>
    <row r="662" spans="1:4" x14ac:dyDescent="0.35">
      <c r="A662" s="252" t="s">
        <v>2246</v>
      </c>
      <c r="B662" s="252"/>
      <c r="C662" s="252"/>
      <c r="D662" s="252"/>
    </row>
    <row r="663" spans="1:4" x14ac:dyDescent="0.35">
      <c r="A663" s="252" t="s">
        <v>2247</v>
      </c>
      <c r="B663" s="252"/>
      <c r="C663" s="252"/>
      <c r="D663" s="252"/>
    </row>
    <row r="664" spans="1:4" x14ac:dyDescent="0.35">
      <c r="A664" s="252" t="s">
        <v>2248</v>
      </c>
      <c r="B664" s="252"/>
      <c r="C664" s="252"/>
      <c r="D664" s="252"/>
    </row>
    <row r="665" spans="1:4" x14ac:dyDescent="0.35">
      <c r="A665" s="252" t="s">
        <v>2249</v>
      </c>
      <c r="B665" s="252"/>
      <c r="C665" s="252"/>
      <c r="D665" s="252"/>
    </row>
    <row r="666" spans="1:4" x14ac:dyDescent="0.35">
      <c r="A666" s="252" t="s">
        <v>2250</v>
      </c>
      <c r="B666" s="252"/>
      <c r="C666" s="252"/>
      <c r="D666" s="252"/>
    </row>
    <row r="667" spans="1:4" x14ac:dyDescent="0.35">
      <c r="A667" s="252" t="s">
        <v>2251</v>
      </c>
      <c r="B667" s="252"/>
      <c r="C667" s="252"/>
      <c r="D667" s="252"/>
    </row>
    <row r="668" spans="1:4" x14ac:dyDescent="0.35">
      <c r="A668" s="252" t="s">
        <v>2252</v>
      </c>
      <c r="B668" s="252"/>
      <c r="C668" s="252"/>
      <c r="D668" s="252"/>
    </row>
    <row r="669" spans="1:4" x14ac:dyDescent="0.35">
      <c r="A669" s="252" t="s">
        <v>2253</v>
      </c>
      <c r="B669" s="252"/>
      <c r="C669" s="252"/>
      <c r="D669" s="252"/>
    </row>
    <row r="670" spans="1:4" x14ac:dyDescent="0.35">
      <c r="A670" s="252" t="s">
        <v>2254</v>
      </c>
      <c r="B670" s="252"/>
      <c r="C670" s="252"/>
      <c r="D670" s="252"/>
    </row>
    <row r="671" spans="1:4" x14ac:dyDescent="0.35">
      <c r="A671" s="252" t="s">
        <v>2255</v>
      </c>
      <c r="B671" s="252"/>
      <c r="C671" s="252"/>
      <c r="D671" s="252"/>
    </row>
    <row r="672" spans="1:4" x14ac:dyDescent="0.35">
      <c r="A672" s="252" t="s">
        <v>2256</v>
      </c>
      <c r="B672" s="252"/>
      <c r="C672" s="252"/>
      <c r="D672" s="252"/>
    </row>
    <row r="673" spans="1:4" x14ac:dyDescent="0.35">
      <c r="A673" s="252" t="s">
        <v>2257</v>
      </c>
      <c r="B673" s="252"/>
      <c r="C673" s="252"/>
      <c r="D673" s="252"/>
    </row>
    <row r="674" spans="1:4" x14ac:dyDescent="0.35">
      <c r="A674" s="252" t="s">
        <v>2258</v>
      </c>
      <c r="B674" s="252"/>
      <c r="C674" s="252"/>
      <c r="D674" s="252"/>
    </row>
    <row r="675" spans="1:4" x14ac:dyDescent="0.35">
      <c r="A675" s="252" t="s">
        <v>2259</v>
      </c>
      <c r="B675" s="252"/>
      <c r="C675" s="252"/>
      <c r="D675" s="252"/>
    </row>
    <row r="676" spans="1:4" x14ac:dyDescent="0.35">
      <c r="A676" s="252" t="s">
        <v>2260</v>
      </c>
      <c r="B676" s="252"/>
      <c r="C676" s="252"/>
      <c r="D676" s="252"/>
    </row>
    <row r="677" spans="1:4" x14ac:dyDescent="0.35">
      <c r="A677" s="252" t="s">
        <v>2261</v>
      </c>
      <c r="B677" s="252"/>
      <c r="C677" s="252"/>
      <c r="D677" s="252"/>
    </row>
    <row r="678" spans="1:4" x14ac:dyDescent="0.35">
      <c r="A678" s="252" t="s">
        <v>2262</v>
      </c>
      <c r="B678" s="252"/>
      <c r="C678" s="252"/>
      <c r="D678" s="252"/>
    </row>
    <row r="679" spans="1:4" x14ac:dyDescent="0.35">
      <c r="A679" s="252" t="s">
        <v>2263</v>
      </c>
      <c r="B679" s="252"/>
      <c r="C679" s="252"/>
      <c r="D679" s="252"/>
    </row>
    <row r="680" spans="1:4" x14ac:dyDescent="0.35">
      <c r="A680" s="252" t="s">
        <v>2264</v>
      </c>
      <c r="B680" s="252"/>
      <c r="C680" s="252"/>
      <c r="D680" s="252"/>
    </row>
    <row r="681" spans="1:4" x14ac:dyDescent="0.35">
      <c r="A681" s="252" t="s">
        <v>2265</v>
      </c>
      <c r="B681" s="252"/>
      <c r="C681" s="252"/>
      <c r="D681" s="252"/>
    </row>
    <row r="682" spans="1:4" x14ac:dyDescent="0.35">
      <c r="A682" s="252" t="s">
        <v>2266</v>
      </c>
      <c r="B682" s="252"/>
      <c r="C682" s="252"/>
      <c r="D682" s="252"/>
    </row>
    <row r="683" spans="1:4" x14ac:dyDescent="0.35">
      <c r="A683" s="252" t="s">
        <v>2267</v>
      </c>
      <c r="B683" s="252"/>
      <c r="C683" s="252"/>
      <c r="D683" s="252"/>
    </row>
    <row r="684" spans="1:4" x14ac:dyDescent="0.35">
      <c r="A684" s="252" t="s">
        <v>2268</v>
      </c>
      <c r="B684" s="252"/>
      <c r="C684" s="252"/>
      <c r="D684" s="252"/>
    </row>
    <row r="685" spans="1:4" x14ac:dyDescent="0.35">
      <c r="A685" s="252" t="s">
        <v>2269</v>
      </c>
      <c r="B685" s="252"/>
      <c r="C685" s="252"/>
      <c r="D685" s="252"/>
    </row>
    <row r="686" spans="1:4" x14ac:dyDescent="0.35">
      <c r="A686" s="252" t="s">
        <v>2270</v>
      </c>
      <c r="B686" s="252"/>
      <c r="C686" s="252"/>
      <c r="D686" s="252"/>
    </row>
    <row r="687" spans="1:4" x14ac:dyDescent="0.35">
      <c r="A687" s="252" t="s">
        <v>2271</v>
      </c>
      <c r="B687" s="252"/>
      <c r="C687" s="252"/>
      <c r="D687" s="252"/>
    </row>
    <row r="688" spans="1:4" x14ac:dyDescent="0.35">
      <c r="A688" s="252" t="s">
        <v>2272</v>
      </c>
      <c r="B688" s="252"/>
      <c r="C688" s="252"/>
      <c r="D688" s="252"/>
    </row>
    <row r="689" spans="1:4" x14ac:dyDescent="0.35">
      <c r="A689" s="252" t="s">
        <v>2273</v>
      </c>
      <c r="B689" s="252"/>
      <c r="C689" s="252"/>
      <c r="D689" s="252"/>
    </row>
    <row r="690" spans="1:4" x14ac:dyDescent="0.35">
      <c r="A690" s="252" t="s">
        <v>2274</v>
      </c>
      <c r="B690" s="252"/>
      <c r="C690" s="252"/>
      <c r="D690" s="252"/>
    </row>
    <row r="691" spans="1:4" x14ac:dyDescent="0.35">
      <c r="A691" s="252" t="s">
        <v>2275</v>
      </c>
      <c r="B691" s="252"/>
      <c r="C691" s="252"/>
      <c r="D691" s="252"/>
    </row>
    <row r="692" spans="1:4" x14ac:dyDescent="0.35">
      <c r="A692" s="252" t="s">
        <v>2276</v>
      </c>
      <c r="B692" s="252"/>
      <c r="C692" s="252"/>
      <c r="D692" s="252"/>
    </row>
    <row r="693" spans="1:4" x14ac:dyDescent="0.35">
      <c r="A693" s="252" t="s">
        <v>2277</v>
      </c>
      <c r="B693" s="252"/>
      <c r="C693" s="252"/>
      <c r="D693" s="252"/>
    </row>
    <row r="694" spans="1:4" x14ac:dyDescent="0.35">
      <c r="A694" s="252" t="s">
        <v>2278</v>
      </c>
      <c r="B694" s="252"/>
      <c r="C694" s="252"/>
      <c r="D694" s="252"/>
    </row>
    <row r="695" spans="1:4" x14ac:dyDescent="0.35">
      <c r="A695" s="252" t="s">
        <v>2279</v>
      </c>
      <c r="B695" s="252"/>
      <c r="C695" s="252"/>
      <c r="D695" s="252"/>
    </row>
    <row r="696" spans="1:4" x14ac:dyDescent="0.35">
      <c r="A696" s="252" t="s">
        <v>2280</v>
      </c>
      <c r="B696" s="252"/>
      <c r="C696" s="252"/>
      <c r="D696" s="252"/>
    </row>
    <row r="697" spans="1:4" x14ac:dyDescent="0.35">
      <c r="A697" s="252" t="s">
        <v>2281</v>
      </c>
      <c r="B697" s="252"/>
      <c r="C697" s="252"/>
      <c r="D697" s="252"/>
    </row>
    <row r="698" spans="1:4" x14ac:dyDescent="0.35">
      <c r="A698" s="252" t="s">
        <v>2282</v>
      </c>
      <c r="B698" s="252"/>
      <c r="C698" s="252"/>
      <c r="D698" s="252"/>
    </row>
    <row r="699" spans="1:4" x14ac:dyDescent="0.35">
      <c r="A699" s="252" t="s">
        <v>2283</v>
      </c>
      <c r="B699" s="252"/>
      <c r="C699" s="252"/>
      <c r="D699" s="252"/>
    </row>
    <row r="700" spans="1:4" x14ac:dyDescent="0.35">
      <c r="A700" s="252" t="s">
        <v>2284</v>
      </c>
      <c r="B700" s="252"/>
      <c r="C700" s="252"/>
      <c r="D700" s="252"/>
    </row>
    <row r="701" spans="1:4" x14ac:dyDescent="0.35">
      <c r="A701" s="252" t="s">
        <v>2285</v>
      </c>
      <c r="B701" s="252"/>
      <c r="C701" s="252"/>
      <c r="D701" s="252"/>
    </row>
    <row r="702" spans="1:4" x14ac:dyDescent="0.35">
      <c r="A702" s="252" t="s">
        <v>2286</v>
      </c>
      <c r="B702" s="252"/>
      <c r="C702" s="252"/>
      <c r="D702" s="252"/>
    </row>
    <row r="703" spans="1:4" x14ac:dyDescent="0.35">
      <c r="A703" s="252" t="s">
        <v>2287</v>
      </c>
      <c r="B703" s="252"/>
      <c r="C703" s="252"/>
      <c r="D703" s="252"/>
    </row>
    <row r="704" spans="1:4" x14ac:dyDescent="0.35">
      <c r="A704" s="252" t="s">
        <v>2288</v>
      </c>
      <c r="B704" s="252"/>
      <c r="C704" s="252"/>
      <c r="D704" s="252"/>
    </row>
    <row r="705" spans="1:4" x14ac:dyDescent="0.35">
      <c r="A705" s="252" t="s">
        <v>2289</v>
      </c>
      <c r="B705" s="252"/>
      <c r="C705" s="252"/>
      <c r="D705" s="252"/>
    </row>
    <row r="706" spans="1:4" x14ac:dyDescent="0.35">
      <c r="A706" s="252" t="s">
        <v>2290</v>
      </c>
      <c r="B706" s="252"/>
      <c r="C706" s="252"/>
      <c r="D706" s="252"/>
    </row>
    <row r="707" spans="1:4" x14ac:dyDescent="0.35">
      <c r="A707" s="252" t="s">
        <v>2291</v>
      </c>
      <c r="B707" s="252"/>
      <c r="C707" s="252"/>
      <c r="D707" s="252"/>
    </row>
    <row r="708" spans="1:4" x14ac:dyDescent="0.35">
      <c r="A708" s="252" t="s">
        <v>2292</v>
      </c>
      <c r="B708" s="252"/>
      <c r="C708" s="252"/>
      <c r="D708" s="252"/>
    </row>
    <row r="709" spans="1:4" x14ac:dyDescent="0.35">
      <c r="A709" s="252" t="s">
        <v>2293</v>
      </c>
      <c r="B709" s="252"/>
      <c r="C709" s="252"/>
      <c r="D709" s="252"/>
    </row>
    <row r="710" spans="1:4" x14ac:dyDescent="0.35">
      <c r="A710" s="252" t="s">
        <v>2294</v>
      </c>
      <c r="B710" s="252"/>
      <c r="C710" s="252"/>
      <c r="D710" s="252"/>
    </row>
    <row r="711" spans="1:4" x14ac:dyDescent="0.35">
      <c r="A711" s="252" t="s">
        <v>2295</v>
      </c>
      <c r="B711" s="252"/>
      <c r="C711" s="252"/>
      <c r="D711" s="252"/>
    </row>
    <row r="712" spans="1:4" x14ac:dyDescent="0.35">
      <c r="A712" s="252" t="s">
        <v>2296</v>
      </c>
      <c r="B712" s="252"/>
      <c r="C712" s="252"/>
      <c r="D712" s="252"/>
    </row>
    <row r="713" spans="1:4" x14ac:dyDescent="0.35">
      <c r="A713" s="252" t="s">
        <v>2297</v>
      </c>
      <c r="B713" s="252"/>
      <c r="C713" s="252"/>
      <c r="D713" s="252"/>
    </row>
    <row r="714" spans="1:4" x14ac:dyDescent="0.35">
      <c r="A714" s="252" t="s">
        <v>2298</v>
      </c>
      <c r="B714" s="252"/>
      <c r="C714" s="252"/>
      <c r="D714" s="252"/>
    </row>
    <row r="715" spans="1:4" x14ac:dyDescent="0.35">
      <c r="A715" s="252" t="s">
        <v>2299</v>
      </c>
      <c r="B715" s="252"/>
      <c r="C715" s="252"/>
      <c r="D715" s="252"/>
    </row>
    <row r="716" spans="1:4" x14ac:dyDescent="0.35">
      <c r="A716" s="252" t="s">
        <v>2300</v>
      </c>
      <c r="B716" s="252"/>
      <c r="C716" s="252"/>
      <c r="D716" s="252"/>
    </row>
    <row r="717" spans="1:4" x14ac:dyDescent="0.35">
      <c r="A717" s="252" t="s">
        <v>2301</v>
      </c>
      <c r="B717" s="252"/>
      <c r="C717" s="252"/>
      <c r="D717" s="252"/>
    </row>
    <row r="718" spans="1:4" x14ac:dyDescent="0.35">
      <c r="A718" s="252" t="s">
        <v>2302</v>
      </c>
      <c r="B718" s="252"/>
      <c r="C718" s="252"/>
      <c r="D718" s="252"/>
    </row>
    <row r="719" spans="1:4" x14ac:dyDescent="0.35">
      <c r="A719" s="252" t="s">
        <v>2303</v>
      </c>
      <c r="B719" s="252"/>
      <c r="C719" s="252"/>
      <c r="D719" s="252"/>
    </row>
    <row r="720" spans="1:4" x14ac:dyDescent="0.35">
      <c r="A720" s="252" t="s">
        <v>2304</v>
      </c>
      <c r="B720" s="252"/>
      <c r="C720" s="252"/>
      <c r="D720" s="252"/>
    </row>
    <row r="721" spans="1:4" x14ac:dyDescent="0.35">
      <c r="A721" s="252" t="s">
        <v>2305</v>
      </c>
      <c r="B721" s="252"/>
      <c r="C721" s="252"/>
      <c r="D721" s="252"/>
    </row>
    <row r="722" spans="1:4" x14ac:dyDescent="0.35">
      <c r="A722" s="252" t="s">
        <v>2306</v>
      </c>
      <c r="B722" s="252"/>
      <c r="C722" s="252"/>
      <c r="D722" s="252"/>
    </row>
    <row r="723" spans="1:4" x14ac:dyDescent="0.35">
      <c r="A723" s="252" t="s">
        <v>2307</v>
      </c>
      <c r="B723" s="252"/>
      <c r="C723" s="252"/>
      <c r="D723" s="252"/>
    </row>
    <row r="724" spans="1:4" x14ac:dyDescent="0.35">
      <c r="A724" s="252" t="s">
        <v>2308</v>
      </c>
      <c r="B724" s="252"/>
      <c r="C724" s="252"/>
      <c r="D724" s="252"/>
    </row>
    <row r="725" spans="1:4" x14ac:dyDescent="0.35">
      <c r="A725" s="252" t="s">
        <v>2309</v>
      </c>
      <c r="B725" s="252"/>
      <c r="C725" s="252"/>
      <c r="D725" s="252"/>
    </row>
    <row r="726" spans="1:4" x14ac:dyDescent="0.35">
      <c r="A726" s="252" t="s">
        <v>2310</v>
      </c>
      <c r="B726" s="252"/>
      <c r="C726" s="252"/>
      <c r="D726" s="252"/>
    </row>
    <row r="727" spans="1:4" x14ac:dyDescent="0.35">
      <c r="A727" s="252" t="s">
        <v>2311</v>
      </c>
      <c r="B727" s="252"/>
      <c r="C727" s="252"/>
      <c r="D727" s="252"/>
    </row>
    <row r="728" spans="1:4" x14ac:dyDescent="0.35">
      <c r="A728" s="252" t="s">
        <v>2312</v>
      </c>
      <c r="B728" s="252"/>
      <c r="C728" s="252"/>
      <c r="D728" s="252"/>
    </row>
    <row r="729" spans="1:4" x14ac:dyDescent="0.35">
      <c r="A729" s="252" t="s">
        <v>2313</v>
      </c>
      <c r="B729" s="252"/>
      <c r="C729" s="252"/>
      <c r="D729" s="252"/>
    </row>
    <row r="730" spans="1:4" x14ac:dyDescent="0.35">
      <c r="A730" s="252" t="s">
        <v>2314</v>
      </c>
      <c r="B730" s="252"/>
      <c r="C730" s="252"/>
      <c r="D730" s="252"/>
    </row>
    <row r="731" spans="1:4" x14ac:dyDescent="0.35">
      <c r="A731" s="252" t="s">
        <v>2315</v>
      </c>
      <c r="B731" s="252"/>
      <c r="C731" s="252"/>
      <c r="D731" s="252"/>
    </row>
    <row r="732" spans="1:4" x14ac:dyDescent="0.35">
      <c r="A732" s="252" t="s">
        <v>2316</v>
      </c>
      <c r="B732" s="252"/>
      <c r="C732" s="252"/>
      <c r="D732" s="252"/>
    </row>
    <row r="733" spans="1:4" x14ac:dyDescent="0.35">
      <c r="A733" s="252" t="s">
        <v>2317</v>
      </c>
      <c r="B733" s="252"/>
      <c r="C733" s="252"/>
      <c r="D733" s="252"/>
    </row>
    <row r="734" spans="1:4" x14ac:dyDescent="0.35">
      <c r="A734" s="252" t="s">
        <v>2318</v>
      </c>
      <c r="B734" s="252"/>
      <c r="C734" s="252"/>
      <c r="D734" s="252"/>
    </row>
    <row r="735" spans="1:4" x14ac:dyDescent="0.35">
      <c r="A735" s="252" t="s">
        <v>2319</v>
      </c>
      <c r="B735" s="252"/>
      <c r="C735" s="252"/>
      <c r="D735" s="252"/>
    </row>
    <row r="736" spans="1:4" x14ac:dyDescent="0.35">
      <c r="A736" s="252" t="s">
        <v>2320</v>
      </c>
      <c r="B736" s="252"/>
      <c r="C736" s="252"/>
      <c r="D736" s="252"/>
    </row>
    <row r="737" spans="1:4" x14ac:dyDescent="0.35">
      <c r="A737" s="252" t="s">
        <v>2321</v>
      </c>
      <c r="B737" s="252"/>
      <c r="C737" s="252"/>
      <c r="D737" s="252"/>
    </row>
    <row r="738" spans="1:4" x14ac:dyDescent="0.35">
      <c r="A738" s="252" t="s">
        <v>2322</v>
      </c>
      <c r="B738" s="252"/>
      <c r="C738" s="252"/>
      <c r="D738" s="252"/>
    </row>
    <row r="739" spans="1:4" x14ac:dyDescent="0.35">
      <c r="A739" s="252" t="s">
        <v>2323</v>
      </c>
      <c r="B739" s="252"/>
      <c r="C739" s="252"/>
      <c r="D739" s="252"/>
    </row>
    <row r="740" spans="1:4" x14ac:dyDescent="0.35">
      <c r="A740" s="252" t="s">
        <v>2324</v>
      </c>
      <c r="B740" s="252"/>
      <c r="C740" s="252"/>
      <c r="D740" s="252"/>
    </row>
    <row r="741" spans="1:4" x14ac:dyDescent="0.35">
      <c r="A741" s="252" t="s">
        <v>2325</v>
      </c>
      <c r="B741" s="252"/>
      <c r="C741" s="252"/>
      <c r="D741" s="252"/>
    </row>
    <row r="742" spans="1:4" x14ac:dyDescent="0.35">
      <c r="A742" s="252" t="s">
        <v>2326</v>
      </c>
      <c r="B742" s="252"/>
      <c r="C742" s="252"/>
      <c r="D742" s="252"/>
    </row>
    <row r="743" spans="1:4" x14ac:dyDescent="0.35">
      <c r="A743" s="252" t="s">
        <v>2327</v>
      </c>
      <c r="B743" s="252"/>
      <c r="C743" s="252"/>
      <c r="D743" s="252"/>
    </row>
    <row r="744" spans="1:4" x14ac:dyDescent="0.35">
      <c r="A744" s="252" t="s">
        <v>2328</v>
      </c>
      <c r="B744" s="252"/>
      <c r="C744" s="252"/>
      <c r="D744" s="252"/>
    </row>
    <row r="745" spans="1:4" x14ac:dyDescent="0.35">
      <c r="A745" s="252" t="s">
        <v>2329</v>
      </c>
      <c r="B745" s="252"/>
      <c r="C745" s="252"/>
      <c r="D745" s="252"/>
    </row>
    <row r="746" spans="1:4" x14ac:dyDescent="0.35">
      <c r="A746" s="252" t="s">
        <v>2330</v>
      </c>
      <c r="B746" s="252"/>
      <c r="C746" s="252"/>
      <c r="D746" s="252"/>
    </row>
    <row r="747" spans="1:4" x14ac:dyDescent="0.35">
      <c r="A747" s="252" t="s">
        <v>2331</v>
      </c>
      <c r="B747" s="252"/>
      <c r="C747" s="252"/>
      <c r="D747" s="252"/>
    </row>
    <row r="748" spans="1:4" x14ac:dyDescent="0.35">
      <c r="A748" s="252" t="s">
        <v>2332</v>
      </c>
      <c r="B748" s="252"/>
      <c r="C748" s="252"/>
      <c r="D748" s="252"/>
    </row>
    <row r="749" spans="1:4" x14ac:dyDescent="0.35">
      <c r="A749" s="252" t="s">
        <v>2333</v>
      </c>
      <c r="B749" s="252"/>
      <c r="C749" s="252"/>
      <c r="D749" s="252"/>
    </row>
    <row r="750" spans="1:4" x14ac:dyDescent="0.35">
      <c r="A750" s="252" t="s">
        <v>2334</v>
      </c>
      <c r="B750" s="252"/>
      <c r="C750" s="252"/>
      <c r="D750" s="252"/>
    </row>
    <row r="751" spans="1:4" x14ac:dyDescent="0.35">
      <c r="A751" s="252" t="s">
        <v>2335</v>
      </c>
      <c r="B751" s="252"/>
      <c r="C751" s="252"/>
      <c r="D751" s="252"/>
    </row>
    <row r="752" spans="1:4" x14ac:dyDescent="0.35">
      <c r="A752" s="252" t="s">
        <v>2336</v>
      </c>
      <c r="B752" s="252"/>
      <c r="C752" s="252"/>
      <c r="D752" s="252"/>
    </row>
    <row r="753" spans="1:4" x14ac:dyDescent="0.35">
      <c r="A753" s="252" t="s">
        <v>2337</v>
      </c>
      <c r="B753" s="252"/>
      <c r="C753" s="252"/>
      <c r="D753" s="252"/>
    </row>
    <row r="754" spans="1:4" x14ac:dyDescent="0.35">
      <c r="A754" s="252" t="s">
        <v>2338</v>
      </c>
      <c r="B754" s="252"/>
      <c r="C754" s="252"/>
      <c r="D754" s="252"/>
    </row>
    <row r="755" spans="1:4" x14ac:dyDescent="0.35">
      <c r="A755" s="252" t="s">
        <v>2339</v>
      </c>
      <c r="B755" s="252"/>
      <c r="C755" s="252"/>
      <c r="D755" s="252"/>
    </row>
    <row r="756" spans="1:4" x14ac:dyDescent="0.35">
      <c r="A756" s="252" t="s">
        <v>2340</v>
      </c>
      <c r="B756" s="252"/>
      <c r="C756" s="252"/>
      <c r="D756" s="252"/>
    </row>
    <row r="757" spans="1:4" x14ac:dyDescent="0.35">
      <c r="A757" s="252" t="s">
        <v>2341</v>
      </c>
      <c r="B757" s="252"/>
      <c r="C757" s="252"/>
      <c r="D757" s="252"/>
    </row>
    <row r="758" spans="1:4" x14ac:dyDescent="0.35">
      <c r="A758" s="252" t="s">
        <v>2342</v>
      </c>
      <c r="B758" s="252"/>
      <c r="C758" s="252"/>
      <c r="D758" s="252"/>
    </row>
    <row r="759" spans="1:4" x14ac:dyDescent="0.35">
      <c r="A759" s="252" t="s">
        <v>2343</v>
      </c>
      <c r="B759" s="252"/>
      <c r="C759" s="252"/>
      <c r="D759" s="252"/>
    </row>
    <row r="760" spans="1:4" x14ac:dyDescent="0.35">
      <c r="A760" s="252" t="s">
        <v>2344</v>
      </c>
      <c r="B760" s="252"/>
      <c r="C760" s="252"/>
      <c r="D760" s="252"/>
    </row>
    <row r="761" spans="1:4" x14ac:dyDescent="0.35">
      <c r="A761" s="252" t="s">
        <v>2345</v>
      </c>
      <c r="B761" s="252"/>
      <c r="C761" s="252"/>
      <c r="D761" s="252"/>
    </row>
    <row r="762" spans="1:4" x14ac:dyDescent="0.35">
      <c r="A762" s="252" t="s">
        <v>2346</v>
      </c>
      <c r="B762" s="252"/>
      <c r="C762" s="252"/>
      <c r="D762" s="252"/>
    </row>
    <row r="763" spans="1:4" x14ac:dyDescent="0.35">
      <c r="A763" s="252" t="s">
        <v>2347</v>
      </c>
      <c r="B763" s="252"/>
      <c r="C763" s="252"/>
      <c r="D763" s="252"/>
    </row>
    <row r="764" spans="1:4" x14ac:dyDescent="0.35">
      <c r="A764" s="252" t="s">
        <v>3274</v>
      </c>
      <c r="B764" s="252" t="s">
        <v>3275</v>
      </c>
      <c r="C764" s="252"/>
      <c r="D764" s="252" t="s">
        <v>3276</v>
      </c>
    </row>
    <row r="765" spans="1:4" x14ac:dyDescent="0.35">
      <c r="A765" s="252" t="s">
        <v>3277</v>
      </c>
      <c r="B765" s="252" t="s">
        <v>3275</v>
      </c>
      <c r="C765" s="252"/>
      <c r="D765" s="252" t="s">
        <v>3276</v>
      </c>
    </row>
    <row r="766" spans="1:4" x14ac:dyDescent="0.35">
      <c r="A766" s="252" t="s">
        <v>2348</v>
      </c>
      <c r="B766" s="252" t="s">
        <v>3275</v>
      </c>
      <c r="C766" s="252"/>
      <c r="D766" s="252" t="s">
        <v>3276</v>
      </c>
    </row>
    <row r="767" spans="1:4" x14ac:dyDescent="0.35">
      <c r="A767" s="252" t="s">
        <v>3278</v>
      </c>
      <c r="B767" s="252" t="s">
        <v>3275</v>
      </c>
      <c r="C767" s="252"/>
      <c r="D767" s="252" t="s">
        <v>3276</v>
      </c>
    </row>
    <row r="768" spans="1:4" x14ac:dyDescent="0.35">
      <c r="A768" s="252" t="s">
        <v>2349</v>
      </c>
      <c r="B768" s="252" t="s">
        <v>3275</v>
      </c>
      <c r="C768" s="252"/>
      <c r="D768" s="252" t="s">
        <v>3276</v>
      </c>
    </row>
    <row r="769" spans="1:4" x14ac:dyDescent="0.35">
      <c r="A769" s="252" t="s">
        <v>2350</v>
      </c>
      <c r="B769" s="252"/>
      <c r="C769" s="252"/>
      <c r="D769" s="252"/>
    </row>
    <row r="770" spans="1:4" x14ac:dyDescent="0.35">
      <c r="A770" s="252" t="s">
        <v>2351</v>
      </c>
      <c r="B770" s="252"/>
      <c r="C770" s="252"/>
      <c r="D770" s="252"/>
    </row>
    <row r="771" spans="1:4" x14ac:dyDescent="0.35">
      <c r="A771" s="252" t="s">
        <v>2352</v>
      </c>
      <c r="B771" s="252"/>
      <c r="C771" s="252"/>
      <c r="D771" s="252"/>
    </row>
    <row r="772" spans="1:4" x14ac:dyDescent="0.35">
      <c r="A772" s="252" t="s">
        <v>2353</v>
      </c>
      <c r="B772" s="252"/>
      <c r="C772" s="252"/>
      <c r="D772" s="252"/>
    </row>
    <row r="773" spans="1:4" x14ac:dyDescent="0.35">
      <c r="A773" s="252" t="s">
        <v>2354</v>
      </c>
      <c r="B773" s="252"/>
      <c r="C773" s="252"/>
      <c r="D773" s="252"/>
    </row>
    <row r="774" spans="1:4" x14ac:dyDescent="0.35">
      <c r="A774" s="252" t="s">
        <v>2355</v>
      </c>
      <c r="B774" s="252"/>
      <c r="C774" s="252"/>
      <c r="D774" s="252"/>
    </row>
    <row r="775" spans="1:4" x14ac:dyDescent="0.35">
      <c r="A775" s="252" t="s">
        <v>2356</v>
      </c>
      <c r="B775" s="252"/>
      <c r="C775" s="252"/>
      <c r="D775" s="252"/>
    </row>
    <row r="776" spans="1:4" x14ac:dyDescent="0.35">
      <c r="A776" s="252" t="s">
        <v>2357</v>
      </c>
      <c r="B776" s="252"/>
      <c r="C776" s="252"/>
      <c r="D776" s="252"/>
    </row>
    <row r="777" spans="1:4" x14ac:dyDescent="0.35">
      <c r="A777" s="252" t="s">
        <v>2358</v>
      </c>
      <c r="B777" s="252"/>
      <c r="C777" s="252"/>
      <c r="D777" s="252"/>
    </row>
    <row r="778" spans="1:4" x14ac:dyDescent="0.35">
      <c r="A778" s="252" t="s">
        <v>2359</v>
      </c>
      <c r="B778" s="252"/>
      <c r="C778" s="252"/>
      <c r="D778" s="252"/>
    </row>
    <row r="779" spans="1:4" x14ac:dyDescent="0.35">
      <c r="A779" s="252" t="s">
        <v>2360</v>
      </c>
      <c r="B779" s="252"/>
      <c r="C779" s="252"/>
      <c r="D779" s="252"/>
    </row>
    <row r="780" spans="1:4" x14ac:dyDescent="0.35">
      <c r="A780" s="252" t="s">
        <v>2361</v>
      </c>
      <c r="B780" s="252"/>
      <c r="C780" s="252"/>
      <c r="D780" s="252"/>
    </row>
    <row r="781" spans="1:4" x14ac:dyDescent="0.35">
      <c r="A781" s="252" t="s">
        <v>2362</v>
      </c>
      <c r="B781" s="252"/>
      <c r="C781" s="252"/>
      <c r="D781" s="252"/>
    </row>
    <row r="782" spans="1:4" x14ac:dyDescent="0.35">
      <c r="A782" s="252" t="s">
        <v>2363</v>
      </c>
      <c r="B782" s="252"/>
      <c r="C782" s="252"/>
      <c r="D782" s="252"/>
    </row>
    <row r="783" spans="1:4" x14ac:dyDescent="0.35">
      <c r="A783" s="252" t="s">
        <v>2364</v>
      </c>
      <c r="B783" s="252"/>
      <c r="C783" s="252"/>
      <c r="D783" s="252"/>
    </row>
    <row r="784" spans="1:4" x14ac:dyDescent="0.35">
      <c r="A784" s="252" t="s">
        <v>2365</v>
      </c>
      <c r="B784" s="252"/>
      <c r="C784" s="252"/>
      <c r="D784" s="252"/>
    </row>
    <row r="785" spans="1:4" x14ac:dyDescent="0.35">
      <c r="A785" s="252" t="s">
        <v>2366</v>
      </c>
      <c r="B785" s="252"/>
      <c r="C785" s="252"/>
      <c r="D785" s="252"/>
    </row>
    <row r="786" spans="1:4" x14ac:dyDescent="0.35">
      <c r="A786" s="252" t="s">
        <v>2367</v>
      </c>
      <c r="B786" s="252"/>
      <c r="C786" s="252"/>
      <c r="D786" s="252"/>
    </row>
    <row r="787" spans="1:4" x14ac:dyDescent="0.35">
      <c r="A787" s="252" t="s">
        <v>2368</v>
      </c>
      <c r="B787" s="252"/>
      <c r="C787" s="252"/>
      <c r="D787" s="252"/>
    </row>
    <row r="788" spans="1:4" x14ac:dyDescent="0.35">
      <c r="A788" s="252" t="s">
        <v>2369</v>
      </c>
      <c r="B788" s="252"/>
      <c r="C788" s="252"/>
      <c r="D788" s="252"/>
    </row>
    <row r="789" spans="1:4" x14ac:dyDescent="0.35">
      <c r="A789" s="252" t="s">
        <v>2370</v>
      </c>
      <c r="B789" s="252"/>
      <c r="C789" s="252"/>
      <c r="D789" s="252"/>
    </row>
    <row r="790" spans="1:4" x14ac:dyDescent="0.35">
      <c r="A790" s="252" t="s">
        <v>2371</v>
      </c>
      <c r="B790" s="252"/>
      <c r="C790" s="252"/>
      <c r="D790" s="252"/>
    </row>
    <row r="791" spans="1:4" x14ac:dyDescent="0.35">
      <c r="A791" s="252" t="s">
        <v>2372</v>
      </c>
      <c r="B791" s="252"/>
      <c r="C791" s="252"/>
      <c r="D791" s="252"/>
    </row>
    <row r="792" spans="1:4" x14ac:dyDescent="0.35">
      <c r="A792" s="252" t="s">
        <v>2373</v>
      </c>
      <c r="B792" s="252"/>
      <c r="C792" s="252"/>
      <c r="D792" s="252"/>
    </row>
    <row r="793" spans="1:4" x14ac:dyDescent="0.35">
      <c r="A793" s="252" t="s">
        <v>2374</v>
      </c>
      <c r="B793" s="252"/>
      <c r="C793" s="252"/>
      <c r="D793" s="252"/>
    </row>
    <row r="794" spans="1:4" x14ac:dyDescent="0.35">
      <c r="A794" s="252" t="s">
        <v>2375</v>
      </c>
      <c r="B794" s="252"/>
      <c r="C794" s="252"/>
      <c r="D794" s="252"/>
    </row>
    <row r="795" spans="1:4" x14ac:dyDescent="0.35">
      <c r="A795" s="252" t="s">
        <v>2376</v>
      </c>
      <c r="B795" s="252"/>
      <c r="C795" s="252"/>
      <c r="D795" s="252"/>
    </row>
    <row r="796" spans="1:4" x14ac:dyDescent="0.35">
      <c r="A796" s="252" t="s">
        <v>2377</v>
      </c>
      <c r="B796" s="252"/>
      <c r="C796" s="252"/>
      <c r="D796" s="252"/>
    </row>
    <row r="797" spans="1:4" x14ac:dyDescent="0.35">
      <c r="A797" s="252" t="s">
        <v>2378</v>
      </c>
      <c r="B797" s="252"/>
      <c r="C797" s="252"/>
      <c r="D797" s="252"/>
    </row>
    <row r="798" spans="1:4" x14ac:dyDescent="0.35">
      <c r="A798" s="252" t="s">
        <v>2379</v>
      </c>
      <c r="B798" s="252"/>
      <c r="C798" s="252"/>
      <c r="D798" s="252"/>
    </row>
    <row r="799" spans="1:4" x14ac:dyDescent="0.35">
      <c r="A799" s="252" t="s">
        <v>2380</v>
      </c>
      <c r="B799" s="252"/>
      <c r="C799" s="252"/>
      <c r="D799" s="252"/>
    </row>
    <row r="800" spans="1:4" x14ac:dyDescent="0.35">
      <c r="A800" s="252" t="s">
        <v>2381</v>
      </c>
      <c r="B800" s="252"/>
      <c r="C800" s="252"/>
      <c r="D800" s="252"/>
    </row>
    <row r="801" spans="1:4" x14ac:dyDescent="0.35">
      <c r="A801" s="252" t="s">
        <v>2382</v>
      </c>
      <c r="B801" s="252"/>
      <c r="C801" s="252"/>
      <c r="D801" s="252"/>
    </row>
    <row r="802" spans="1:4" x14ac:dyDescent="0.35">
      <c r="A802" s="252" t="s">
        <v>2383</v>
      </c>
      <c r="B802" s="252"/>
      <c r="C802" s="252"/>
      <c r="D802" s="252"/>
    </row>
    <row r="803" spans="1:4" x14ac:dyDescent="0.35">
      <c r="A803" s="252" t="s">
        <v>2384</v>
      </c>
      <c r="B803" s="252"/>
      <c r="C803" s="252"/>
      <c r="D803" s="252"/>
    </row>
    <row r="804" spans="1:4" x14ac:dyDescent="0.35">
      <c r="A804" s="252" t="s">
        <v>2385</v>
      </c>
      <c r="B804" s="252"/>
      <c r="C804" s="252"/>
      <c r="D804" s="252"/>
    </row>
    <row r="805" spans="1:4" x14ac:dyDescent="0.35">
      <c r="A805" s="252" t="s">
        <v>2386</v>
      </c>
      <c r="B805" s="252"/>
      <c r="C805" s="252"/>
      <c r="D805" s="252"/>
    </row>
    <row r="806" spans="1:4" x14ac:dyDescent="0.35">
      <c r="A806" s="252" t="s">
        <v>2387</v>
      </c>
      <c r="B806" s="252"/>
      <c r="C806" s="252"/>
      <c r="D806" s="252"/>
    </row>
    <row r="807" spans="1:4" x14ac:dyDescent="0.35">
      <c r="A807" s="252" t="s">
        <v>2388</v>
      </c>
      <c r="B807" s="252"/>
      <c r="C807" s="252"/>
      <c r="D807" s="252"/>
    </row>
    <row r="808" spans="1:4" x14ac:dyDescent="0.35">
      <c r="A808" s="252" t="s">
        <v>2389</v>
      </c>
      <c r="B808" s="252"/>
      <c r="C808" s="252"/>
      <c r="D808" s="252"/>
    </row>
    <row r="809" spans="1:4" x14ac:dyDescent="0.35">
      <c r="A809" s="252" t="s">
        <v>2390</v>
      </c>
      <c r="B809" s="252"/>
      <c r="C809" s="252"/>
      <c r="D809" s="252"/>
    </row>
    <row r="810" spans="1:4" x14ac:dyDescent="0.35">
      <c r="A810" s="252" t="s">
        <v>2391</v>
      </c>
      <c r="B810" s="252"/>
      <c r="C810" s="252"/>
      <c r="D810" s="252"/>
    </row>
    <row r="811" spans="1:4" x14ac:dyDescent="0.35">
      <c r="A811" s="252" t="s">
        <v>2392</v>
      </c>
      <c r="B811" s="252"/>
      <c r="C811" s="252"/>
      <c r="D811" s="252"/>
    </row>
    <row r="812" spans="1:4" x14ac:dyDescent="0.35">
      <c r="A812" s="252" t="s">
        <v>2393</v>
      </c>
      <c r="B812" s="252"/>
      <c r="C812" s="252"/>
      <c r="D812" s="252"/>
    </row>
    <row r="813" spans="1:4" x14ac:dyDescent="0.35">
      <c r="A813" s="252" t="s">
        <v>2394</v>
      </c>
      <c r="B813" s="252"/>
      <c r="C813" s="252"/>
      <c r="D813" s="252"/>
    </row>
    <row r="814" spans="1:4" x14ac:dyDescent="0.35">
      <c r="A814" s="252" t="s">
        <v>2395</v>
      </c>
      <c r="B814" s="252"/>
      <c r="C814" s="252"/>
      <c r="D814" s="252"/>
    </row>
    <row r="815" spans="1:4" x14ac:dyDescent="0.35">
      <c r="A815" s="252" t="s">
        <v>2396</v>
      </c>
      <c r="B815" s="252"/>
      <c r="C815" s="252"/>
      <c r="D815" s="252"/>
    </row>
    <row r="816" spans="1:4" x14ac:dyDescent="0.35">
      <c r="A816" s="252" t="s">
        <v>2397</v>
      </c>
      <c r="B816" s="252"/>
      <c r="C816" s="252"/>
      <c r="D816" s="252"/>
    </row>
    <row r="817" spans="1:4" x14ac:dyDescent="0.35">
      <c r="A817" s="252" t="s">
        <v>2398</v>
      </c>
      <c r="B817" s="252"/>
      <c r="C817" s="252"/>
      <c r="D817" s="252"/>
    </row>
    <row r="818" spans="1:4" x14ac:dyDescent="0.35">
      <c r="A818" s="252" t="s">
        <v>2399</v>
      </c>
      <c r="B818" s="252"/>
      <c r="C818" s="252"/>
      <c r="D818" s="252"/>
    </row>
    <row r="819" spans="1:4" x14ac:dyDescent="0.35">
      <c r="A819" s="252" t="s">
        <v>2400</v>
      </c>
      <c r="B819" s="252"/>
      <c r="C819" s="252"/>
      <c r="D819" s="252"/>
    </row>
    <row r="820" spans="1:4" x14ac:dyDescent="0.35">
      <c r="A820" s="252" t="s">
        <v>2401</v>
      </c>
      <c r="B820" s="252"/>
      <c r="C820" s="252"/>
      <c r="D820" s="252"/>
    </row>
    <row r="821" spans="1:4" x14ac:dyDescent="0.35">
      <c r="A821" s="252" t="s">
        <v>2402</v>
      </c>
      <c r="B821" s="252"/>
      <c r="C821" s="252"/>
      <c r="D821" s="252"/>
    </row>
    <row r="822" spans="1:4" x14ac:dyDescent="0.35">
      <c r="A822" s="252" t="s">
        <v>2403</v>
      </c>
      <c r="B822" s="252"/>
      <c r="C822" s="252"/>
      <c r="D822" s="252"/>
    </row>
    <row r="823" spans="1:4" x14ac:dyDescent="0.35">
      <c r="A823" s="252" t="s">
        <v>2404</v>
      </c>
      <c r="B823" s="252"/>
      <c r="C823" s="252"/>
      <c r="D823" s="252"/>
    </row>
    <row r="824" spans="1:4" x14ac:dyDescent="0.35">
      <c r="A824" s="252" t="s">
        <v>2405</v>
      </c>
      <c r="B824" s="252"/>
      <c r="C824" s="252"/>
      <c r="D824" s="252"/>
    </row>
    <row r="825" spans="1:4" x14ac:dyDescent="0.35">
      <c r="A825" s="252" t="s">
        <v>2406</v>
      </c>
      <c r="B825" s="252"/>
      <c r="C825" s="252"/>
      <c r="D825" s="252"/>
    </row>
    <row r="826" spans="1:4" x14ac:dyDescent="0.35">
      <c r="A826" s="252" t="s">
        <v>2407</v>
      </c>
      <c r="B826" s="252"/>
      <c r="C826" s="252"/>
      <c r="D826" s="252"/>
    </row>
    <row r="827" spans="1:4" x14ac:dyDescent="0.35">
      <c r="A827" s="252" t="s">
        <v>2408</v>
      </c>
      <c r="B827" s="252"/>
      <c r="C827" s="252"/>
      <c r="D827" s="252"/>
    </row>
    <row r="828" spans="1:4" x14ac:dyDescent="0.35">
      <c r="A828" s="252" t="s">
        <v>2409</v>
      </c>
      <c r="B828" s="252"/>
      <c r="C828" s="252"/>
      <c r="D828" s="252"/>
    </row>
    <row r="829" spans="1:4" x14ac:dyDescent="0.35">
      <c r="A829" s="252" t="s">
        <v>2410</v>
      </c>
      <c r="B829" s="252"/>
      <c r="C829" s="252"/>
      <c r="D829" s="252"/>
    </row>
    <row r="830" spans="1:4" x14ac:dyDescent="0.35">
      <c r="A830" s="252" t="s">
        <v>2411</v>
      </c>
      <c r="B830" s="252"/>
      <c r="C830" s="252"/>
      <c r="D830" s="252"/>
    </row>
    <row r="831" spans="1:4" x14ac:dyDescent="0.35">
      <c r="A831" s="252" t="s">
        <v>2412</v>
      </c>
      <c r="B831" s="252"/>
      <c r="C831" s="252"/>
      <c r="D831" s="252"/>
    </row>
    <row r="832" spans="1:4" x14ac:dyDescent="0.35">
      <c r="A832" s="252" t="s">
        <v>2413</v>
      </c>
      <c r="B832" s="252"/>
      <c r="C832" s="252"/>
      <c r="D832" s="252"/>
    </row>
    <row r="833" spans="1:4" x14ac:dyDescent="0.35">
      <c r="A833" s="252" t="s">
        <v>2414</v>
      </c>
      <c r="B833" s="252"/>
      <c r="C833" s="252"/>
      <c r="D833" s="252"/>
    </row>
    <row r="834" spans="1:4" x14ac:dyDescent="0.35">
      <c r="A834" s="252" t="s">
        <v>2415</v>
      </c>
      <c r="B834" s="252"/>
      <c r="C834" s="252"/>
      <c r="D834" s="252"/>
    </row>
    <row r="835" spans="1:4" x14ac:dyDescent="0.35">
      <c r="A835" s="252" t="s">
        <v>2416</v>
      </c>
      <c r="B835" s="252"/>
      <c r="C835" s="252"/>
      <c r="D835" s="252"/>
    </row>
    <row r="836" spans="1:4" x14ac:dyDescent="0.35">
      <c r="A836" s="252" t="s">
        <v>2417</v>
      </c>
      <c r="B836" s="252"/>
      <c r="C836" s="252"/>
      <c r="D836" s="252"/>
    </row>
    <row r="837" spans="1:4" x14ac:dyDescent="0.35">
      <c r="A837" s="252" t="s">
        <v>2418</v>
      </c>
      <c r="B837" s="252"/>
      <c r="C837" s="252"/>
      <c r="D837" s="252"/>
    </row>
    <row r="838" spans="1:4" x14ac:dyDescent="0.35">
      <c r="A838" s="252" t="s">
        <v>2419</v>
      </c>
      <c r="B838" s="252"/>
      <c r="C838" s="252"/>
      <c r="D838" s="252"/>
    </row>
    <row r="839" spans="1:4" x14ac:dyDescent="0.35">
      <c r="A839" s="252" t="s">
        <v>2420</v>
      </c>
      <c r="B839" s="252"/>
      <c r="C839" s="252"/>
      <c r="D839" s="252"/>
    </row>
    <row r="840" spans="1:4" x14ac:dyDescent="0.35">
      <c r="A840" s="252" t="s">
        <v>2421</v>
      </c>
      <c r="B840" s="252"/>
      <c r="C840" s="252"/>
      <c r="D840" s="252"/>
    </row>
    <row r="841" spans="1:4" x14ac:dyDescent="0.35">
      <c r="A841" s="252" t="s">
        <v>2422</v>
      </c>
      <c r="B841" s="252"/>
      <c r="C841" s="252"/>
      <c r="D841" s="252"/>
    </row>
    <row r="842" spans="1:4" x14ac:dyDescent="0.35">
      <c r="A842" s="252" t="s">
        <v>2423</v>
      </c>
      <c r="B842" s="252"/>
      <c r="C842" s="252"/>
      <c r="D842" s="252"/>
    </row>
    <row r="843" spans="1:4" x14ac:dyDescent="0.35">
      <c r="A843" s="252" t="s">
        <v>2424</v>
      </c>
      <c r="B843" s="252"/>
      <c r="C843" s="252"/>
      <c r="D843" s="252"/>
    </row>
    <row r="844" spans="1:4" x14ac:dyDescent="0.35">
      <c r="A844" s="252" t="s">
        <v>2425</v>
      </c>
      <c r="B844" s="252"/>
      <c r="C844" s="252"/>
      <c r="D844" s="252"/>
    </row>
    <row r="845" spans="1:4" x14ac:dyDescent="0.35">
      <c r="A845" s="252" t="s">
        <v>2426</v>
      </c>
      <c r="B845" s="252"/>
      <c r="C845" s="252"/>
      <c r="D845" s="252"/>
    </row>
    <row r="846" spans="1:4" x14ac:dyDescent="0.35">
      <c r="A846" s="252" t="s">
        <v>2427</v>
      </c>
      <c r="B846" s="252"/>
      <c r="C846" s="252"/>
      <c r="D846" s="252"/>
    </row>
    <row r="847" spans="1:4" x14ac:dyDescent="0.35">
      <c r="A847" s="252" t="s">
        <v>2428</v>
      </c>
      <c r="B847" s="252"/>
      <c r="C847" s="252"/>
      <c r="D847" s="252"/>
    </row>
    <row r="848" spans="1:4" x14ac:dyDescent="0.35">
      <c r="A848" s="252" t="s">
        <v>2429</v>
      </c>
      <c r="B848" s="252"/>
      <c r="C848" s="252"/>
      <c r="D848" s="252"/>
    </row>
    <row r="849" spans="1:4" x14ac:dyDescent="0.35">
      <c r="A849" s="252" t="s">
        <v>2430</v>
      </c>
      <c r="B849" s="252"/>
      <c r="C849" s="252"/>
      <c r="D849" s="252"/>
    </row>
    <row r="850" spans="1:4" x14ac:dyDescent="0.35">
      <c r="A850" s="252" t="s">
        <v>2431</v>
      </c>
      <c r="B850" s="252"/>
      <c r="C850" s="252"/>
      <c r="D850" s="252"/>
    </row>
    <row r="851" spans="1:4" x14ac:dyDescent="0.35">
      <c r="A851" s="252" t="s">
        <v>2432</v>
      </c>
      <c r="B851" s="252"/>
      <c r="C851" s="252"/>
      <c r="D851" s="252"/>
    </row>
    <row r="852" spans="1:4" x14ac:dyDescent="0.35">
      <c r="A852" s="252" t="s">
        <v>2433</v>
      </c>
      <c r="B852" s="252"/>
      <c r="C852" s="252"/>
      <c r="D852" s="252"/>
    </row>
    <row r="853" spans="1:4" x14ac:dyDescent="0.35">
      <c r="A853" s="252" t="s">
        <v>2434</v>
      </c>
      <c r="B853" s="252"/>
      <c r="C853" s="252"/>
      <c r="D853" s="252"/>
    </row>
    <row r="854" spans="1:4" x14ac:dyDescent="0.35">
      <c r="A854" s="252" t="s">
        <v>2435</v>
      </c>
      <c r="B854" s="252"/>
      <c r="C854" s="252"/>
      <c r="D854" s="252"/>
    </row>
    <row r="855" spans="1:4" x14ac:dyDescent="0.35">
      <c r="A855" s="252" t="s">
        <v>2436</v>
      </c>
      <c r="B855" s="252"/>
      <c r="C855" s="252"/>
      <c r="D855" s="252"/>
    </row>
    <row r="856" spans="1:4" x14ac:dyDescent="0.35">
      <c r="A856" s="252" t="s">
        <v>2437</v>
      </c>
      <c r="B856" s="252"/>
      <c r="C856" s="252"/>
      <c r="D856" s="252"/>
    </row>
    <row r="857" spans="1:4" x14ac:dyDescent="0.35">
      <c r="A857" s="252" t="s">
        <v>2438</v>
      </c>
      <c r="B857" s="252"/>
      <c r="C857" s="252"/>
      <c r="D857" s="252"/>
    </row>
    <row r="858" spans="1:4" x14ac:dyDescent="0.35">
      <c r="A858" s="252" t="s">
        <v>2439</v>
      </c>
      <c r="B858" s="252"/>
      <c r="C858" s="252"/>
      <c r="D858" s="252"/>
    </row>
    <row r="859" spans="1:4" x14ac:dyDescent="0.35">
      <c r="A859" s="252" t="s">
        <v>2440</v>
      </c>
      <c r="B859" s="252"/>
      <c r="C859" s="252"/>
      <c r="D859" s="252"/>
    </row>
    <row r="860" spans="1:4" x14ac:dyDescent="0.35">
      <c r="A860" s="252" t="s">
        <v>2441</v>
      </c>
      <c r="B860" s="252"/>
      <c r="C860" s="252"/>
      <c r="D860" s="252"/>
    </row>
    <row r="861" spans="1:4" x14ac:dyDescent="0.35">
      <c r="A861" s="252" t="s">
        <v>2442</v>
      </c>
      <c r="B861" s="252"/>
      <c r="C861" s="252"/>
      <c r="D861" s="252"/>
    </row>
    <row r="862" spans="1:4" x14ac:dyDescent="0.35">
      <c r="A862" s="252" t="s">
        <v>2443</v>
      </c>
      <c r="B862" s="252"/>
      <c r="C862" s="252"/>
      <c r="D862" s="252"/>
    </row>
    <row r="863" spans="1:4" x14ac:dyDescent="0.35">
      <c r="A863" s="252" t="s">
        <v>2444</v>
      </c>
      <c r="B863" s="252"/>
      <c r="C863" s="252"/>
      <c r="D863" s="252"/>
    </row>
    <row r="864" spans="1:4" x14ac:dyDescent="0.35">
      <c r="A864" s="252" t="s">
        <v>2445</v>
      </c>
      <c r="B864" s="252"/>
      <c r="C864" s="252"/>
      <c r="D864" s="252"/>
    </row>
    <row r="865" spans="1:4" x14ac:dyDescent="0.35">
      <c r="A865" s="252" t="s">
        <v>2446</v>
      </c>
      <c r="B865" s="252"/>
      <c r="C865" s="252"/>
      <c r="D865" s="252"/>
    </row>
    <row r="866" spans="1:4" x14ac:dyDescent="0.35">
      <c r="A866" s="252" t="s">
        <v>2447</v>
      </c>
      <c r="B866" s="252"/>
      <c r="C866" s="252"/>
      <c r="D866" s="252"/>
    </row>
    <row r="867" spans="1:4" x14ac:dyDescent="0.35">
      <c r="A867" s="252" t="s">
        <v>2448</v>
      </c>
      <c r="B867" s="252"/>
      <c r="C867" s="252"/>
      <c r="D867" s="252"/>
    </row>
    <row r="868" spans="1:4" x14ac:dyDescent="0.35">
      <c r="A868" s="252" t="s">
        <v>2449</v>
      </c>
      <c r="B868" s="252"/>
      <c r="C868" s="252"/>
      <c r="D868" s="252"/>
    </row>
    <row r="869" spans="1:4" x14ac:dyDescent="0.35">
      <c r="A869" s="252" t="s">
        <v>2450</v>
      </c>
      <c r="B869" s="252"/>
      <c r="C869" s="252"/>
      <c r="D869" s="252"/>
    </row>
    <row r="870" spans="1:4" x14ac:dyDescent="0.35">
      <c r="A870" s="252" t="s">
        <v>2451</v>
      </c>
      <c r="B870" s="252"/>
      <c r="C870" s="252"/>
      <c r="D870" s="252"/>
    </row>
    <row r="871" spans="1:4" x14ac:dyDescent="0.35">
      <c r="A871" s="252" t="s">
        <v>2452</v>
      </c>
      <c r="B871" s="252"/>
      <c r="C871" s="252"/>
      <c r="D871" s="252"/>
    </row>
    <row r="872" spans="1:4" x14ac:dyDescent="0.35">
      <c r="A872" s="252" t="s">
        <v>2453</v>
      </c>
      <c r="B872" s="252"/>
      <c r="C872" s="252"/>
      <c r="D872" s="252"/>
    </row>
    <row r="873" spans="1:4" x14ac:dyDescent="0.35">
      <c r="A873" s="252" t="s">
        <v>2454</v>
      </c>
      <c r="B873" s="252"/>
      <c r="C873" s="252"/>
      <c r="D873" s="252"/>
    </row>
    <row r="874" spans="1:4" x14ac:dyDescent="0.35">
      <c r="A874" s="252" t="s">
        <v>2455</v>
      </c>
      <c r="B874" s="252"/>
      <c r="C874" s="252"/>
      <c r="D874" s="252"/>
    </row>
    <row r="875" spans="1:4" x14ac:dyDescent="0.35">
      <c r="A875" s="252" t="s">
        <v>2456</v>
      </c>
      <c r="B875" s="252"/>
      <c r="C875" s="252"/>
      <c r="D875" s="252"/>
    </row>
    <row r="876" spans="1:4" x14ac:dyDescent="0.35">
      <c r="A876" s="252" t="s">
        <v>2457</v>
      </c>
      <c r="B876" s="252"/>
      <c r="C876" s="252"/>
      <c r="D876" s="252"/>
    </row>
    <row r="877" spans="1:4" x14ac:dyDescent="0.35">
      <c r="A877" s="252" t="s">
        <v>2458</v>
      </c>
      <c r="B877" s="252"/>
      <c r="C877" s="252"/>
      <c r="D877" s="252"/>
    </row>
    <row r="878" spans="1:4" x14ac:dyDescent="0.35">
      <c r="A878" s="252" t="s">
        <v>2459</v>
      </c>
      <c r="B878" s="252"/>
      <c r="C878" s="252"/>
      <c r="D878" s="252"/>
    </row>
    <row r="879" spans="1:4" x14ac:dyDescent="0.35">
      <c r="A879" s="252" t="s">
        <v>2460</v>
      </c>
      <c r="B879" s="252"/>
      <c r="C879" s="252"/>
      <c r="D879" s="252"/>
    </row>
    <row r="880" spans="1:4" x14ac:dyDescent="0.35">
      <c r="A880" s="252" t="s">
        <v>2461</v>
      </c>
      <c r="B880" s="252"/>
      <c r="C880" s="252"/>
      <c r="D880" s="252"/>
    </row>
    <row r="881" spans="1:4" x14ac:dyDescent="0.35">
      <c r="A881" s="252" t="s">
        <v>2462</v>
      </c>
      <c r="B881" s="252"/>
      <c r="C881" s="252"/>
      <c r="D881" s="252"/>
    </row>
    <row r="882" spans="1:4" x14ac:dyDescent="0.35">
      <c r="A882" s="252" t="s">
        <v>2463</v>
      </c>
      <c r="B882" s="252"/>
      <c r="C882" s="252"/>
      <c r="D882" s="252"/>
    </row>
    <row r="883" spans="1:4" x14ac:dyDescent="0.35">
      <c r="A883" s="252" t="s">
        <v>2464</v>
      </c>
      <c r="B883" s="252"/>
      <c r="C883" s="252"/>
      <c r="D883" s="252"/>
    </row>
    <row r="884" spans="1:4" x14ac:dyDescent="0.35">
      <c r="A884" s="252" t="s">
        <v>2465</v>
      </c>
      <c r="B884" s="252"/>
      <c r="C884" s="252"/>
      <c r="D884" s="252"/>
    </row>
    <row r="885" spans="1:4" x14ac:dyDescent="0.35">
      <c r="A885" s="252" t="s">
        <v>2466</v>
      </c>
      <c r="B885" s="252"/>
      <c r="C885" s="252"/>
      <c r="D885" s="252"/>
    </row>
    <row r="886" spans="1:4" x14ac:dyDescent="0.35">
      <c r="A886" s="252" t="s">
        <v>2467</v>
      </c>
      <c r="B886" s="252"/>
      <c r="C886" s="252"/>
      <c r="D886" s="252"/>
    </row>
    <row r="887" spans="1:4" x14ac:dyDescent="0.35">
      <c r="A887" s="252" t="s">
        <v>2468</v>
      </c>
      <c r="B887" s="252"/>
      <c r="C887" s="252"/>
      <c r="D887" s="252"/>
    </row>
    <row r="888" spans="1:4" x14ac:dyDescent="0.35">
      <c r="A888" s="252" t="s">
        <v>2469</v>
      </c>
      <c r="B888" s="252"/>
      <c r="C888" s="252"/>
      <c r="D888" s="252"/>
    </row>
    <row r="889" spans="1:4" x14ac:dyDescent="0.35">
      <c r="A889" s="252" t="s">
        <v>2470</v>
      </c>
      <c r="B889" s="252"/>
      <c r="C889" s="252"/>
      <c r="D889" s="252"/>
    </row>
    <row r="890" spans="1:4" x14ac:dyDescent="0.35">
      <c r="A890" s="252" t="s">
        <v>2471</v>
      </c>
      <c r="B890" s="252"/>
      <c r="C890" s="252"/>
      <c r="D890" s="252"/>
    </row>
    <row r="891" spans="1:4" x14ac:dyDescent="0.35">
      <c r="A891" s="252" t="s">
        <v>2472</v>
      </c>
      <c r="B891" s="252"/>
      <c r="C891" s="252"/>
      <c r="D891" s="252"/>
    </row>
    <row r="892" spans="1:4" x14ac:dyDescent="0.35">
      <c r="A892" s="252" t="s">
        <v>2473</v>
      </c>
      <c r="B892" s="252"/>
      <c r="C892" s="252"/>
      <c r="D892" s="252"/>
    </row>
    <row r="893" spans="1:4" x14ac:dyDescent="0.35">
      <c r="A893" s="252" t="s">
        <v>2474</v>
      </c>
      <c r="B893" s="252"/>
      <c r="C893" s="252"/>
      <c r="D893" s="252"/>
    </row>
    <row r="894" spans="1:4" x14ac:dyDescent="0.35">
      <c r="A894" s="252" t="s">
        <v>2475</v>
      </c>
      <c r="B894" s="252"/>
      <c r="C894" s="252"/>
      <c r="D894" s="252"/>
    </row>
    <row r="895" spans="1:4" x14ac:dyDescent="0.35">
      <c r="A895" s="252" t="s">
        <v>2476</v>
      </c>
      <c r="B895" s="252"/>
      <c r="C895" s="252"/>
      <c r="D895" s="252"/>
    </row>
    <row r="896" spans="1:4" x14ac:dyDescent="0.35">
      <c r="A896" s="252" t="s">
        <v>2477</v>
      </c>
      <c r="B896" s="252"/>
      <c r="C896" s="252"/>
      <c r="D896" s="252"/>
    </row>
    <row r="897" spans="1:4" x14ac:dyDescent="0.35">
      <c r="A897" s="252" t="s">
        <v>2478</v>
      </c>
      <c r="B897" s="252"/>
      <c r="C897" s="252"/>
      <c r="D897" s="252"/>
    </row>
    <row r="898" spans="1:4" x14ac:dyDescent="0.35">
      <c r="A898" s="252" t="s">
        <v>2479</v>
      </c>
      <c r="B898" s="252"/>
      <c r="C898" s="252"/>
      <c r="D898" s="252"/>
    </row>
    <row r="899" spans="1:4" x14ac:dyDescent="0.35">
      <c r="A899" s="252" t="s">
        <v>2480</v>
      </c>
      <c r="B899" s="252"/>
      <c r="C899" s="252"/>
      <c r="D899" s="252"/>
    </row>
    <row r="900" spans="1:4" x14ac:dyDescent="0.35">
      <c r="A900" s="252" t="s">
        <v>2481</v>
      </c>
      <c r="B900" s="252"/>
      <c r="C900" s="252"/>
      <c r="D900" s="252"/>
    </row>
    <row r="901" spans="1:4" x14ac:dyDescent="0.35">
      <c r="A901" s="252" t="s">
        <v>2482</v>
      </c>
      <c r="B901" s="252"/>
      <c r="C901" s="252"/>
      <c r="D901" s="252"/>
    </row>
    <row r="902" spans="1:4" x14ac:dyDescent="0.35">
      <c r="A902" s="252" t="s">
        <v>2483</v>
      </c>
      <c r="B902" s="252"/>
      <c r="C902" s="252"/>
      <c r="D902" s="252"/>
    </row>
    <row r="903" spans="1:4" x14ac:dyDescent="0.35">
      <c r="A903" s="252" t="s">
        <v>2484</v>
      </c>
      <c r="B903" s="252"/>
      <c r="C903" s="252"/>
      <c r="D903" s="252"/>
    </row>
    <row r="904" spans="1:4" x14ac:dyDescent="0.35">
      <c r="A904" s="252" t="s">
        <v>2485</v>
      </c>
      <c r="B904" s="252"/>
      <c r="C904" s="252"/>
      <c r="D904" s="252"/>
    </row>
    <row r="905" spans="1:4" x14ac:dyDescent="0.35">
      <c r="A905" s="252" t="s">
        <v>2486</v>
      </c>
      <c r="B905" s="252"/>
      <c r="C905" s="252"/>
      <c r="D905" s="252"/>
    </row>
    <row r="906" spans="1:4" x14ac:dyDescent="0.35">
      <c r="A906" s="252" t="s">
        <v>2487</v>
      </c>
      <c r="B906" s="252"/>
      <c r="C906" s="252"/>
      <c r="D906" s="252"/>
    </row>
    <row r="907" spans="1:4" x14ac:dyDescent="0.35">
      <c r="A907" s="252" t="s">
        <v>2488</v>
      </c>
      <c r="B907" s="252"/>
      <c r="C907" s="252"/>
      <c r="D907" s="252"/>
    </row>
    <row r="908" spans="1:4" x14ac:dyDescent="0.35">
      <c r="A908" s="252" t="s">
        <v>2489</v>
      </c>
      <c r="B908" s="252"/>
      <c r="C908" s="252"/>
      <c r="D908" s="252"/>
    </row>
    <row r="909" spans="1:4" x14ac:dyDescent="0.35">
      <c r="A909" s="252" t="s">
        <v>2490</v>
      </c>
      <c r="B909" s="252"/>
      <c r="C909" s="252"/>
      <c r="D909" s="252"/>
    </row>
    <row r="910" spans="1:4" x14ac:dyDescent="0.35">
      <c r="A910" s="252" t="s">
        <v>2491</v>
      </c>
      <c r="B910" s="252"/>
      <c r="C910" s="252"/>
      <c r="D910" s="252"/>
    </row>
    <row r="911" spans="1:4" x14ac:dyDescent="0.35">
      <c r="A911" s="252" t="s">
        <v>2492</v>
      </c>
      <c r="B911" s="252"/>
      <c r="C911" s="252"/>
      <c r="D911" s="252"/>
    </row>
    <row r="912" spans="1:4" x14ac:dyDescent="0.35">
      <c r="A912" s="252" t="s">
        <v>2493</v>
      </c>
      <c r="B912" s="252"/>
      <c r="C912" s="252"/>
      <c r="D912" s="252"/>
    </row>
    <row r="913" spans="1:4" x14ac:dyDescent="0.35">
      <c r="A913" s="252" t="s">
        <v>2494</v>
      </c>
      <c r="B913" s="252"/>
      <c r="C913" s="252"/>
      <c r="D913" s="252"/>
    </row>
    <row r="914" spans="1:4" x14ac:dyDescent="0.35">
      <c r="A914" s="252" t="s">
        <v>2495</v>
      </c>
      <c r="B914" s="252"/>
      <c r="C914" s="252"/>
      <c r="D914" s="252"/>
    </row>
    <row r="915" spans="1:4" x14ac:dyDescent="0.35">
      <c r="A915" s="252" t="s">
        <v>2496</v>
      </c>
      <c r="B915" s="252"/>
      <c r="C915" s="252"/>
      <c r="D915" s="252"/>
    </row>
    <row r="916" spans="1:4" x14ac:dyDescent="0.35">
      <c r="A916" s="252" t="s">
        <v>2497</v>
      </c>
      <c r="B916" s="252"/>
      <c r="C916" s="252"/>
      <c r="D916" s="252"/>
    </row>
    <row r="917" spans="1:4" x14ac:dyDescent="0.35">
      <c r="A917" s="252" t="s">
        <v>2498</v>
      </c>
      <c r="B917" s="252"/>
      <c r="C917" s="252"/>
      <c r="D917" s="252"/>
    </row>
    <row r="918" spans="1:4" x14ac:dyDescent="0.35">
      <c r="A918" s="252" t="s">
        <v>2499</v>
      </c>
      <c r="B918" s="252"/>
      <c r="C918" s="252"/>
      <c r="D918" s="252"/>
    </row>
    <row r="919" spans="1:4" x14ac:dyDescent="0.35">
      <c r="A919" s="252" t="s">
        <v>2500</v>
      </c>
      <c r="B919" s="252"/>
      <c r="C919" s="252"/>
      <c r="D919" s="252"/>
    </row>
    <row r="920" spans="1:4" x14ac:dyDescent="0.35">
      <c r="A920" s="252" t="s">
        <v>2501</v>
      </c>
      <c r="B920" s="252"/>
      <c r="C920" s="252"/>
      <c r="D920" s="252"/>
    </row>
    <row r="921" spans="1:4" x14ac:dyDescent="0.35">
      <c r="A921" s="252" t="s">
        <v>2502</v>
      </c>
      <c r="B921" s="252"/>
      <c r="C921" s="252"/>
      <c r="D921" s="252"/>
    </row>
    <row r="922" spans="1:4" x14ac:dyDescent="0.35">
      <c r="A922" s="252" t="s">
        <v>2503</v>
      </c>
      <c r="B922" s="252"/>
      <c r="C922" s="252"/>
      <c r="D922" s="252"/>
    </row>
    <row r="923" spans="1:4" x14ac:dyDescent="0.35">
      <c r="A923" s="252" t="s">
        <v>2504</v>
      </c>
      <c r="B923" s="252"/>
      <c r="C923" s="252"/>
      <c r="D923" s="252"/>
    </row>
    <row r="924" spans="1:4" x14ac:dyDescent="0.35">
      <c r="A924" s="252" t="s">
        <v>2505</v>
      </c>
      <c r="B924" s="252"/>
      <c r="C924" s="252"/>
      <c r="D924" s="252"/>
    </row>
    <row r="925" spans="1:4" x14ac:dyDescent="0.35">
      <c r="A925" s="252" t="s">
        <v>2506</v>
      </c>
      <c r="B925" s="252"/>
      <c r="C925" s="252"/>
      <c r="D925" s="252"/>
    </row>
    <row r="926" spans="1:4" x14ac:dyDescent="0.35">
      <c r="A926" s="252" t="s">
        <v>2507</v>
      </c>
      <c r="B926" s="252"/>
      <c r="C926" s="252"/>
      <c r="D926" s="252"/>
    </row>
    <row r="927" spans="1:4" x14ac:dyDescent="0.35">
      <c r="A927" s="252" t="s">
        <v>2508</v>
      </c>
      <c r="B927" s="252"/>
      <c r="C927" s="252"/>
      <c r="D927" s="252"/>
    </row>
    <row r="928" spans="1:4" x14ac:dyDescent="0.35">
      <c r="A928" s="252" t="s">
        <v>2509</v>
      </c>
      <c r="B928" s="252"/>
      <c r="C928" s="252"/>
      <c r="D928" s="252"/>
    </row>
    <row r="929" spans="1:4" x14ac:dyDescent="0.35">
      <c r="A929" s="252" t="s">
        <v>2510</v>
      </c>
      <c r="B929" s="252"/>
      <c r="C929" s="252"/>
      <c r="D929" s="252"/>
    </row>
    <row r="930" spans="1:4" x14ac:dyDescent="0.35">
      <c r="A930" s="252" t="s">
        <v>2511</v>
      </c>
      <c r="B930" s="252"/>
      <c r="C930" s="252"/>
      <c r="D930" s="252"/>
    </row>
    <row r="931" spans="1:4" x14ac:dyDescent="0.35">
      <c r="A931" s="252" t="s">
        <v>2512</v>
      </c>
      <c r="B931" s="252"/>
      <c r="C931" s="252"/>
      <c r="D931" s="252"/>
    </row>
    <row r="932" spans="1:4" x14ac:dyDescent="0.35">
      <c r="A932" s="252" t="s">
        <v>2513</v>
      </c>
      <c r="B932" s="252"/>
      <c r="C932" s="252"/>
      <c r="D932" s="252"/>
    </row>
    <row r="933" spans="1:4" x14ac:dyDescent="0.35">
      <c r="A933" s="252" t="s">
        <v>2514</v>
      </c>
      <c r="B933" s="252"/>
      <c r="C933" s="252"/>
      <c r="D933" s="252"/>
    </row>
    <row r="934" spans="1:4" x14ac:dyDescent="0.35">
      <c r="A934" s="252" t="s">
        <v>2515</v>
      </c>
      <c r="B934" s="252"/>
      <c r="C934" s="252"/>
      <c r="D934" s="252"/>
    </row>
    <row r="935" spans="1:4" x14ac:dyDescent="0.35">
      <c r="A935" s="252" t="s">
        <v>2516</v>
      </c>
      <c r="B935" s="252"/>
      <c r="C935" s="252"/>
      <c r="D935" s="252"/>
    </row>
    <row r="936" spans="1:4" x14ac:dyDescent="0.35">
      <c r="A936" s="252" t="s">
        <v>2517</v>
      </c>
      <c r="B936" s="252"/>
      <c r="C936" s="252"/>
      <c r="D936" s="252"/>
    </row>
    <row r="937" spans="1:4" x14ac:dyDescent="0.35">
      <c r="A937" s="252" t="s">
        <v>2518</v>
      </c>
      <c r="B937" s="252"/>
      <c r="C937" s="252"/>
      <c r="D937" s="252"/>
    </row>
    <row r="938" spans="1:4" x14ac:dyDescent="0.35">
      <c r="A938" s="252" t="s">
        <v>2519</v>
      </c>
      <c r="B938" s="252"/>
      <c r="C938" s="252"/>
      <c r="D938" s="252"/>
    </row>
    <row r="939" spans="1:4" x14ac:dyDescent="0.35">
      <c r="A939" s="252" t="s">
        <v>2520</v>
      </c>
      <c r="B939" s="252"/>
      <c r="C939" s="252"/>
      <c r="D939" s="252"/>
    </row>
    <row r="940" spans="1:4" x14ac:dyDescent="0.35">
      <c r="A940" s="252" t="s">
        <v>2521</v>
      </c>
      <c r="B940" s="252"/>
      <c r="C940" s="252"/>
      <c r="D940" s="252"/>
    </row>
    <row r="941" spans="1:4" x14ac:dyDescent="0.35">
      <c r="A941" s="252" t="s">
        <v>2522</v>
      </c>
      <c r="B941" s="252"/>
      <c r="C941" s="252"/>
      <c r="D941" s="252"/>
    </row>
    <row r="942" spans="1:4" x14ac:dyDescent="0.35">
      <c r="A942" s="252" t="s">
        <v>2523</v>
      </c>
      <c r="B942" s="252"/>
      <c r="C942" s="252"/>
      <c r="D942" s="252"/>
    </row>
    <row r="943" spans="1:4" x14ac:dyDescent="0.35">
      <c r="A943" s="252" t="s">
        <v>2524</v>
      </c>
      <c r="B943" s="252"/>
      <c r="C943" s="252"/>
      <c r="D943" s="252"/>
    </row>
    <row r="944" spans="1:4" x14ac:dyDescent="0.35">
      <c r="A944" s="252" t="s">
        <v>2525</v>
      </c>
      <c r="B944" s="252"/>
      <c r="C944" s="252"/>
      <c r="D944" s="252"/>
    </row>
    <row r="945" spans="1:4" x14ac:dyDescent="0.35">
      <c r="A945" s="252" t="s">
        <v>2526</v>
      </c>
      <c r="B945" s="252"/>
      <c r="C945" s="252"/>
      <c r="D945" s="252"/>
    </row>
    <row r="946" spans="1:4" x14ac:dyDescent="0.35">
      <c r="A946" s="252" t="s">
        <v>2527</v>
      </c>
      <c r="B946" s="252"/>
      <c r="C946" s="252"/>
      <c r="D946" s="252"/>
    </row>
    <row r="947" spans="1:4" x14ac:dyDescent="0.35">
      <c r="A947" s="252" t="s">
        <v>2528</v>
      </c>
      <c r="B947" s="252"/>
      <c r="C947" s="252"/>
      <c r="D947" s="252"/>
    </row>
    <row r="948" spans="1:4" x14ac:dyDescent="0.35">
      <c r="A948" s="252" t="s">
        <v>2529</v>
      </c>
      <c r="B948" s="252"/>
      <c r="C948" s="252"/>
      <c r="D948" s="252"/>
    </row>
    <row r="949" spans="1:4" x14ac:dyDescent="0.35">
      <c r="A949" s="252" t="s">
        <v>2530</v>
      </c>
      <c r="B949" s="252"/>
      <c r="C949" s="252"/>
      <c r="D949" s="252"/>
    </row>
    <row r="950" spans="1:4" x14ac:dyDescent="0.35">
      <c r="A950" s="252" t="s">
        <v>2531</v>
      </c>
      <c r="B950" s="252"/>
      <c r="C950" s="252"/>
      <c r="D950" s="252"/>
    </row>
    <row r="951" spans="1:4" x14ac:dyDescent="0.35">
      <c r="A951" s="252" t="s">
        <v>2532</v>
      </c>
      <c r="B951" s="252"/>
      <c r="C951" s="252"/>
      <c r="D951" s="252"/>
    </row>
    <row r="952" spans="1:4" x14ac:dyDescent="0.35">
      <c r="A952" s="252" t="s">
        <v>2533</v>
      </c>
      <c r="B952" s="252"/>
      <c r="C952" s="252"/>
      <c r="D952" s="252"/>
    </row>
    <row r="953" spans="1:4" x14ac:dyDescent="0.35">
      <c r="A953" s="252" t="s">
        <v>2534</v>
      </c>
      <c r="B953" s="252"/>
      <c r="C953" s="252"/>
      <c r="D953" s="252"/>
    </row>
    <row r="954" spans="1:4" x14ac:dyDescent="0.35">
      <c r="A954" s="252" t="s">
        <v>2535</v>
      </c>
      <c r="B954" s="252"/>
      <c r="C954" s="252"/>
      <c r="D954" s="252"/>
    </row>
    <row r="955" spans="1:4" x14ac:dyDescent="0.35">
      <c r="A955" s="252" t="s">
        <v>2536</v>
      </c>
      <c r="B955" s="252"/>
      <c r="C955" s="252"/>
      <c r="D955" s="252"/>
    </row>
    <row r="956" spans="1:4" x14ac:dyDescent="0.35">
      <c r="A956" s="252" t="s">
        <v>2537</v>
      </c>
      <c r="B956" s="252"/>
      <c r="C956" s="252"/>
      <c r="D956" s="252"/>
    </row>
    <row r="957" spans="1:4" x14ac:dyDescent="0.35">
      <c r="A957" s="252" t="s">
        <v>2538</v>
      </c>
      <c r="B957" s="252"/>
      <c r="C957" s="252"/>
      <c r="D957" s="252"/>
    </row>
    <row r="958" spans="1:4" x14ac:dyDescent="0.35">
      <c r="A958" s="252" t="s">
        <v>2539</v>
      </c>
      <c r="B958" s="252"/>
      <c r="C958" s="252"/>
      <c r="D958" s="252"/>
    </row>
    <row r="959" spans="1:4" x14ac:dyDescent="0.35">
      <c r="A959" s="252" t="s">
        <v>2540</v>
      </c>
      <c r="B959" s="252"/>
      <c r="C959" s="252"/>
      <c r="D959" s="252"/>
    </row>
    <row r="960" spans="1:4" x14ac:dyDescent="0.35">
      <c r="A960" s="252" t="s">
        <v>2541</v>
      </c>
      <c r="B960" s="252"/>
      <c r="C960" s="252"/>
      <c r="D960" s="252"/>
    </row>
    <row r="961" spans="1:4" x14ac:dyDescent="0.35">
      <c r="A961" s="252" t="s">
        <v>2542</v>
      </c>
      <c r="B961" s="252"/>
      <c r="C961" s="252"/>
      <c r="D961" s="252"/>
    </row>
    <row r="962" spans="1:4" x14ac:dyDescent="0.35">
      <c r="A962" s="252" t="s">
        <v>2543</v>
      </c>
      <c r="B962" s="252"/>
      <c r="C962" s="252"/>
      <c r="D962" s="252"/>
    </row>
    <row r="963" spans="1:4" x14ac:dyDescent="0.35">
      <c r="A963" s="252" t="s">
        <v>2544</v>
      </c>
      <c r="B963" s="252"/>
      <c r="C963" s="252"/>
      <c r="D963" s="252"/>
    </row>
    <row r="964" spans="1:4" x14ac:dyDescent="0.35">
      <c r="A964" s="252" t="s">
        <v>2545</v>
      </c>
      <c r="B964" s="252"/>
      <c r="C964" s="252"/>
      <c r="D964" s="252"/>
    </row>
    <row r="965" spans="1:4" x14ac:dyDescent="0.35">
      <c r="A965" s="252" t="s">
        <v>2546</v>
      </c>
      <c r="B965" s="252"/>
      <c r="C965" s="252"/>
      <c r="D965" s="252"/>
    </row>
    <row r="966" spans="1:4" x14ac:dyDescent="0.35">
      <c r="A966" s="252" t="s">
        <v>2547</v>
      </c>
      <c r="B966" s="252"/>
      <c r="C966" s="252"/>
      <c r="D966" s="252"/>
    </row>
    <row r="967" spans="1:4" x14ac:dyDescent="0.35">
      <c r="A967" s="252" t="s">
        <v>2548</v>
      </c>
      <c r="B967" s="252"/>
      <c r="C967" s="252"/>
      <c r="D967" s="252"/>
    </row>
    <row r="968" spans="1:4" x14ac:dyDescent="0.35">
      <c r="A968" s="252" t="s">
        <v>2549</v>
      </c>
      <c r="B968" s="252"/>
      <c r="C968" s="252"/>
      <c r="D968" s="252"/>
    </row>
    <row r="969" spans="1:4" x14ac:dyDescent="0.35">
      <c r="A969" s="252" t="s">
        <v>2550</v>
      </c>
      <c r="B969" s="252"/>
      <c r="C969" s="252"/>
      <c r="D969" s="252"/>
    </row>
    <row r="970" spans="1:4" x14ac:dyDescent="0.35">
      <c r="A970" s="252" t="s">
        <v>2551</v>
      </c>
      <c r="B970" s="252"/>
      <c r="C970" s="252"/>
      <c r="D970" s="252"/>
    </row>
    <row r="971" spans="1:4" x14ac:dyDescent="0.35">
      <c r="A971" s="252" t="s">
        <v>2552</v>
      </c>
      <c r="B971" s="252"/>
      <c r="C971" s="252"/>
      <c r="D971" s="252"/>
    </row>
    <row r="972" spans="1:4" x14ac:dyDescent="0.35">
      <c r="A972" s="252" t="s">
        <v>2553</v>
      </c>
      <c r="B972" s="252"/>
      <c r="C972" s="252"/>
      <c r="D972" s="252"/>
    </row>
    <row r="973" spans="1:4" x14ac:dyDescent="0.35">
      <c r="A973" s="252" t="s">
        <v>2554</v>
      </c>
      <c r="B973" s="252"/>
      <c r="C973" s="252"/>
      <c r="D973" s="252"/>
    </row>
    <row r="974" spans="1:4" x14ac:dyDescent="0.35">
      <c r="A974" s="252" t="s">
        <v>2555</v>
      </c>
      <c r="B974" s="252"/>
      <c r="C974" s="252"/>
      <c r="D974" s="252"/>
    </row>
    <row r="975" spans="1:4" x14ac:dyDescent="0.35">
      <c r="A975" s="252" t="s">
        <v>2556</v>
      </c>
      <c r="B975" s="252"/>
      <c r="C975" s="252"/>
      <c r="D975" s="252"/>
    </row>
    <row r="976" spans="1:4" x14ac:dyDescent="0.35">
      <c r="A976" s="252" t="s">
        <v>2557</v>
      </c>
      <c r="B976" s="252"/>
      <c r="C976" s="252"/>
      <c r="D976" s="252"/>
    </row>
    <row r="977" spans="1:4" x14ac:dyDescent="0.35">
      <c r="A977" s="252" t="s">
        <v>2558</v>
      </c>
      <c r="B977" s="252"/>
      <c r="C977" s="252"/>
      <c r="D977" s="252"/>
    </row>
    <row r="978" spans="1:4" x14ac:dyDescent="0.35">
      <c r="A978" s="252" t="s">
        <v>2559</v>
      </c>
      <c r="B978" s="252"/>
      <c r="C978" s="252"/>
      <c r="D978" s="252"/>
    </row>
    <row r="979" spans="1:4" x14ac:dyDescent="0.35">
      <c r="A979" s="252" t="s">
        <v>2560</v>
      </c>
      <c r="B979" s="252"/>
      <c r="C979" s="252"/>
      <c r="D979" s="252"/>
    </row>
    <row r="980" spans="1:4" x14ac:dyDescent="0.35">
      <c r="A980" s="252" t="s">
        <v>2561</v>
      </c>
      <c r="B980" s="252"/>
      <c r="C980" s="252"/>
      <c r="D980" s="252"/>
    </row>
    <row r="981" spans="1:4" x14ac:dyDescent="0.35">
      <c r="A981" s="252" t="s">
        <v>2562</v>
      </c>
      <c r="B981" s="252"/>
      <c r="C981" s="252"/>
      <c r="D981" s="252"/>
    </row>
    <row r="982" spans="1:4" x14ac:dyDescent="0.35">
      <c r="A982" s="252" t="s">
        <v>2563</v>
      </c>
      <c r="B982" s="252"/>
      <c r="C982" s="252"/>
      <c r="D982" s="252"/>
    </row>
    <row r="983" spans="1:4" x14ac:dyDescent="0.35">
      <c r="A983" s="252" t="s">
        <v>2564</v>
      </c>
      <c r="B983" s="252"/>
      <c r="C983" s="252"/>
      <c r="D983" s="252"/>
    </row>
    <row r="984" spans="1:4" x14ac:dyDescent="0.35">
      <c r="A984" s="252" t="s">
        <v>2565</v>
      </c>
      <c r="B984" s="252"/>
      <c r="C984" s="252"/>
      <c r="D984" s="252"/>
    </row>
    <row r="985" spans="1:4" x14ac:dyDescent="0.35">
      <c r="A985" s="252" t="s">
        <v>2566</v>
      </c>
      <c r="B985" s="252"/>
      <c r="C985" s="252"/>
      <c r="D985" s="252"/>
    </row>
    <row r="986" spans="1:4" x14ac:dyDescent="0.35">
      <c r="A986" s="252" t="s">
        <v>2567</v>
      </c>
      <c r="B986" s="252"/>
      <c r="C986" s="252"/>
      <c r="D986" s="252"/>
    </row>
    <row r="987" spans="1:4" x14ac:dyDescent="0.35">
      <c r="A987" s="252" t="s">
        <v>2568</v>
      </c>
      <c r="B987" s="252"/>
      <c r="C987" s="252"/>
      <c r="D987" s="252"/>
    </row>
    <row r="988" spans="1:4" x14ac:dyDescent="0.35">
      <c r="A988" s="252" t="s">
        <v>2569</v>
      </c>
      <c r="B988" s="252"/>
      <c r="C988" s="252"/>
      <c r="D988" s="252"/>
    </row>
    <row r="989" spans="1:4" x14ac:dyDescent="0.35">
      <c r="A989" s="252" t="s">
        <v>2570</v>
      </c>
      <c r="B989" s="252"/>
      <c r="C989" s="252"/>
      <c r="D989" s="252"/>
    </row>
    <row r="990" spans="1:4" x14ac:dyDescent="0.35">
      <c r="A990" s="252" t="s">
        <v>2571</v>
      </c>
      <c r="B990" s="252"/>
      <c r="C990" s="252"/>
      <c r="D990" s="252"/>
    </row>
    <row r="991" spans="1:4" x14ac:dyDescent="0.35">
      <c r="A991" s="252" t="s">
        <v>2572</v>
      </c>
      <c r="B991" s="252"/>
      <c r="C991" s="252"/>
      <c r="D991" s="252"/>
    </row>
    <row r="992" spans="1:4" x14ac:dyDescent="0.35">
      <c r="A992" s="252" t="s">
        <v>2573</v>
      </c>
      <c r="B992" s="252"/>
      <c r="C992" s="252"/>
      <c r="D992" s="252"/>
    </row>
    <row r="993" spans="1:4" x14ac:dyDescent="0.35">
      <c r="A993" s="252" t="s">
        <v>2574</v>
      </c>
      <c r="B993" s="252"/>
      <c r="C993" s="252"/>
      <c r="D993" s="252"/>
    </row>
    <row r="994" spans="1:4" x14ac:dyDescent="0.35">
      <c r="A994" s="252" t="s">
        <v>2575</v>
      </c>
      <c r="B994" s="252"/>
      <c r="C994" s="252"/>
      <c r="D994" s="252"/>
    </row>
    <row r="995" spans="1:4" x14ac:dyDescent="0.35">
      <c r="A995" s="252" t="s">
        <v>2576</v>
      </c>
      <c r="B995" s="252"/>
      <c r="C995" s="252"/>
      <c r="D995" s="252"/>
    </row>
    <row r="996" spans="1:4" x14ac:dyDescent="0.35">
      <c r="A996" s="252" t="s">
        <v>2577</v>
      </c>
      <c r="B996" s="252"/>
      <c r="C996" s="252"/>
      <c r="D996" s="252"/>
    </row>
    <row r="997" spans="1:4" x14ac:dyDescent="0.35">
      <c r="A997" s="252" t="s">
        <v>2578</v>
      </c>
      <c r="B997" s="252"/>
      <c r="C997" s="252"/>
      <c r="D997" s="252"/>
    </row>
    <row r="998" spans="1:4" x14ac:dyDescent="0.35">
      <c r="A998" s="252" t="s">
        <v>2579</v>
      </c>
      <c r="B998" s="252"/>
      <c r="C998" s="252"/>
      <c r="D998" s="252"/>
    </row>
    <row r="999" spans="1:4" x14ac:dyDescent="0.35">
      <c r="A999" s="252" t="s">
        <v>2580</v>
      </c>
      <c r="B999" s="252"/>
      <c r="C999" s="252"/>
      <c r="D999" s="252"/>
    </row>
    <row r="1000" spans="1:4" x14ac:dyDescent="0.35">
      <c r="A1000" s="252" t="s">
        <v>2581</v>
      </c>
      <c r="B1000" s="252"/>
      <c r="C1000" s="252"/>
      <c r="D1000" s="252"/>
    </row>
    <row r="1001" spans="1:4" x14ac:dyDescent="0.35">
      <c r="A1001" s="252" t="s">
        <v>2582</v>
      </c>
      <c r="B1001" s="252"/>
      <c r="C1001" s="252"/>
      <c r="D1001" s="252"/>
    </row>
    <row r="1002" spans="1:4" x14ac:dyDescent="0.35">
      <c r="A1002" s="252" t="s">
        <v>2583</v>
      </c>
      <c r="B1002" s="252"/>
      <c r="C1002" s="252"/>
      <c r="D1002" s="252"/>
    </row>
    <row r="1003" spans="1:4" x14ac:dyDescent="0.35">
      <c r="A1003" s="252" t="s">
        <v>2584</v>
      </c>
      <c r="B1003" s="252"/>
      <c r="C1003" s="252"/>
      <c r="D1003" s="252"/>
    </row>
    <row r="1004" spans="1:4" x14ac:dyDescent="0.35">
      <c r="A1004" s="252" t="s">
        <v>2585</v>
      </c>
      <c r="B1004" s="252"/>
      <c r="C1004" s="252"/>
      <c r="D1004" s="252"/>
    </row>
    <row r="1005" spans="1:4" x14ac:dyDescent="0.35">
      <c r="A1005" s="252" t="s">
        <v>2586</v>
      </c>
      <c r="B1005" s="252"/>
      <c r="C1005" s="252"/>
      <c r="D1005" s="252"/>
    </row>
    <row r="1006" spans="1:4" x14ac:dyDescent="0.35">
      <c r="A1006" s="252" t="s">
        <v>2587</v>
      </c>
      <c r="B1006" s="252"/>
      <c r="C1006" s="252"/>
      <c r="D1006" s="252"/>
    </row>
    <row r="1007" spans="1:4" x14ac:dyDescent="0.35">
      <c r="A1007" s="252" t="s">
        <v>2588</v>
      </c>
      <c r="B1007" s="252"/>
      <c r="C1007" s="252"/>
      <c r="D1007" s="252"/>
    </row>
    <row r="1008" spans="1:4" x14ac:dyDescent="0.35">
      <c r="A1008" s="252" t="s">
        <v>2589</v>
      </c>
      <c r="B1008" s="252"/>
      <c r="C1008" s="252"/>
      <c r="D1008" s="252"/>
    </row>
    <row r="1009" spans="1:4" x14ac:dyDescent="0.35">
      <c r="A1009" s="252" t="s">
        <v>2590</v>
      </c>
      <c r="B1009" s="252"/>
      <c r="C1009" s="252"/>
      <c r="D1009" s="252"/>
    </row>
    <row r="1010" spans="1:4" x14ac:dyDescent="0.35">
      <c r="A1010" s="252" t="s">
        <v>2591</v>
      </c>
      <c r="B1010" s="252"/>
      <c r="C1010" s="252"/>
      <c r="D1010" s="252"/>
    </row>
    <row r="1011" spans="1:4" x14ac:dyDescent="0.35">
      <c r="A1011" s="252" t="s">
        <v>2592</v>
      </c>
      <c r="B1011" s="252"/>
      <c r="C1011" s="252"/>
      <c r="D1011" s="252"/>
    </row>
    <row r="1012" spans="1:4" x14ac:dyDescent="0.35">
      <c r="A1012" s="252" t="s">
        <v>2593</v>
      </c>
      <c r="B1012" s="252"/>
      <c r="C1012" s="252"/>
      <c r="D1012" s="252"/>
    </row>
    <row r="1013" spans="1:4" x14ac:dyDescent="0.35">
      <c r="A1013" s="252" t="s">
        <v>2594</v>
      </c>
      <c r="B1013" s="252"/>
      <c r="C1013" s="252"/>
      <c r="D1013" s="252"/>
    </row>
    <row r="1014" spans="1:4" x14ac:dyDescent="0.35">
      <c r="A1014" s="252" t="s">
        <v>2595</v>
      </c>
      <c r="B1014" s="252"/>
      <c r="C1014" s="252"/>
      <c r="D1014" s="252"/>
    </row>
    <row r="1015" spans="1:4" x14ac:dyDescent="0.35">
      <c r="A1015" s="252" t="s">
        <v>2596</v>
      </c>
      <c r="B1015" s="252"/>
      <c r="C1015" s="252"/>
      <c r="D1015" s="252"/>
    </row>
    <row r="1016" spans="1:4" x14ac:dyDescent="0.35">
      <c r="A1016" s="252" t="s">
        <v>2597</v>
      </c>
      <c r="B1016" s="252"/>
      <c r="C1016" s="252"/>
      <c r="D1016" s="252"/>
    </row>
    <row r="1017" spans="1:4" x14ac:dyDescent="0.35">
      <c r="A1017" s="252" t="s">
        <v>2598</v>
      </c>
      <c r="B1017" s="252"/>
      <c r="C1017" s="252"/>
      <c r="D1017" s="252"/>
    </row>
    <row r="1018" spans="1:4" x14ac:dyDescent="0.35">
      <c r="A1018" s="252" t="s">
        <v>2599</v>
      </c>
      <c r="B1018" s="252"/>
      <c r="C1018" s="252"/>
      <c r="D1018" s="252"/>
    </row>
    <row r="1019" spans="1:4" x14ac:dyDescent="0.35">
      <c r="A1019" s="252" t="s">
        <v>2600</v>
      </c>
      <c r="B1019" s="252"/>
      <c r="C1019" s="252"/>
      <c r="D1019" s="252"/>
    </row>
    <row r="1020" spans="1:4" x14ac:dyDescent="0.35">
      <c r="A1020" s="252" t="s">
        <v>2601</v>
      </c>
      <c r="B1020" s="252"/>
      <c r="C1020" s="252"/>
      <c r="D1020" s="252"/>
    </row>
    <row r="1021" spans="1:4" x14ac:dyDescent="0.35">
      <c r="A1021" s="252" t="s">
        <v>2602</v>
      </c>
      <c r="B1021" s="252"/>
      <c r="C1021" s="252"/>
      <c r="D1021" s="252"/>
    </row>
    <row r="1022" spans="1:4" x14ac:dyDescent="0.35">
      <c r="A1022" s="252" t="s">
        <v>2603</v>
      </c>
      <c r="B1022" s="252"/>
      <c r="C1022" s="252"/>
      <c r="D1022" s="252"/>
    </row>
    <row r="1023" spans="1:4" x14ac:dyDescent="0.35">
      <c r="A1023" s="252" t="s">
        <v>2604</v>
      </c>
      <c r="B1023" s="252"/>
      <c r="C1023" s="252"/>
      <c r="D1023" s="252"/>
    </row>
    <row r="1024" spans="1:4" x14ac:dyDescent="0.35">
      <c r="A1024" s="252" t="s">
        <v>2605</v>
      </c>
      <c r="B1024" s="252"/>
      <c r="C1024" s="252"/>
      <c r="D1024" s="252"/>
    </row>
    <row r="1025" spans="1:4" x14ac:dyDescent="0.35">
      <c r="A1025" s="252" t="s">
        <v>2606</v>
      </c>
      <c r="B1025" s="252"/>
      <c r="C1025" s="252"/>
      <c r="D1025" s="252"/>
    </row>
    <row r="1026" spans="1:4" x14ac:dyDescent="0.35">
      <c r="A1026" s="252" t="s">
        <v>2607</v>
      </c>
      <c r="B1026" s="252"/>
      <c r="C1026" s="252"/>
      <c r="D1026" s="252"/>
    </row>
    <row r="1027" spans="1:4" x14ac:dyDescent="0.35">
      <c r="A1027" s="252" t="s">
        <v>2608</v>
      </c>
      <c r="B1027" s="252"/>
      <c r="C1027" s="252"/>
      <c r="D1027" s="252"/>
    </row>
    <row r="1028" spans="1:4" x14ac:dyDescent="0.35">
      <c r="A1028" s="252" t="s">
        <v>2609</v>
      </c>
      <c r="B1028" s="252"/>
      <c r="C1028" s="252"/>
      <c r="D1028" s="252"/>
    </row>
    <row r="1029" spans="1:4" x14ac:dyDescent="0.35">
      <c r="A1029" s="252" t="s">
        <v>2610</v>
      </c>
      <c r="B1029" s="252"/>
      <c r="C1029" s="252"/>
      <c r="D1029" s="252"/>
    </row>
    <row r="1030" spans="1:4" x14ac:dyDescent="0.35">
      <c r="A1030" s="252" t="s">
        <v>2611</v>
      </c>
      <c r="B1030" s="252"/>
      <c r="C1030" s="252"/>
      <c r="D1030" s="252"/>
    </row>
    <row r="1031" spans="1:4" x14ac:dyDescent="0.35">
      <c r="A1031" s="252" t="s">
        <v>2612</v>
      </c>
      <c r="B1031" s="252"/>
      <c r="C1031" s="252"/>
      <c r="D1031" s="252"/>
    </row>
    <row r="1032" spans="1:4" x14ac:dyDescent="0.35">
      <c r="A1032" s="252" t="s">
        <v>2613</v>
      </c>
      <c r="B1032" s="252"/>
      <c r="C1032" s="252"/>
      <c r="D1032" s="252"/>
    </row>
    <row r="1033" spans="1:4" x14ac:dyDescent="0.35">
      <c r="A1033" s="252" t="s">
        <v>2614</v>
      </c>
      <c r="B1033" s="252"/>
      <c r="C1033" s="252"/>
      <c r="D1033" s="252"/>
    </row>
    <row r="1034" spans="1:4" x14ac:dyDescent="0.35">
      <c r="A1034" s="252" t="s">
        <v>2615</v>
      </c>
      <c r="B1034" s="252"/>
      <c r="C1034" s="252"/>
      <c r="D1034" s="252"/>
    </row>
    <row r="1035" spans="1:4" x14ac:dyDescent="0.35">
      <c r="A1035" s="252" t="s">
        <v>2616</v>
      </c>
      <c r="B1035" s="252"/>
      <c r="C1035" s="252"/>
      <c r="D1035" s="252"/>
    </row>
    <row r="1036" spans="1:4" x14ac:dyDescent="0.35">
      <c r="A1036" s="252" t="s">
        <v>2617</v>
      </c>
      <c r="B1036" s="252"/>
      <c r="C1036" s="252"/>
      <c r="D1036" s="252"/>
    </row>
    <row r="1037" spans="1:4" x14ac:dyDescent="0.35">
      <c r="A1037" s="252" t="s">
        <v>2618</v>
      </c>
      <c r="B1037" s="252"/>
      <c r="C1037" s="252"/>
      <c r="D1037" s="252"/>
    </row>
    <row r="1038" spans="1:4" x14ac:dyDescent="0.35">
      <c r="A1038" s="252" t="s">
        <v>2619</v>
      </c>
      <c r="B1038" s="252"/>
      <c r="C1038" s="252"/>
      <c r="D1038" s="252"/>
    </row>
    <row r="1039" spans="1:4" x14ac:dyDescent="0.35">
      <c r="A1039" s="252" t="s">
        <v>2620</v>
      </c>
      <c r="B1039" s="252"/>
      <c r="C1039" s="252"/>
      <c r="D1039" s="252"/>
    </row>
    <row r="1040" spans="1:4" x14ac:dyDescent="0.35">
      <c r="A1040" s="252" t="s">
        <v>2621</v>
      </c>
      <c r="B1040" s="252"/>
      <c r="C1040" s="252"/>
      <c r="D1040" s="252"/>
    </row>
    <row r="1041" spans="1:4" x14ac:dyDescent="0.35">
      <c r="A1041" s="252" t="s">
        <v>2622</v>
      </c>
      <c r="B1041" s="252"/>
      <c r="C1041" s="252"/>
      <c r="D1041" s="252"/>
    </row>
    <row r="1042" spans="1:4" x14ac:dyDescent="0.35">
      <c r="A1042" s="252" t="s">
        <v>2623</v>
      </c>
      <c r="B1042" s="252"/>
      <c r="C1042" s="252"/>
      <c r="D1042" s="252"/>
    </row>
    <row r="1043" spans="1:4" x14ac:dyDescent="0.35">
      <c r="A1043" s="252" t="s">
        <v>2624</v>
      </c>
      <c r="B1043" s="252"/>
      <c r="C1043" s="252"/>
      <c r="D1043" s="252"/>
    </row>
    <row r="1044" spans="1:4" x14ac:dyDescent="0.35">
      <c r="A1044" s="252" t="s">
        <v>2625</v>
      </c>
      <c r="B1044" s="252"/>
      <c r="C1044" s="252"/>
      <c r="D1044" s="252"/>
    </row>
    <row r="1045" spans="1:4" x14ac:dyDescent="0.35">
      <c r="A1045" s="252" t="s">
        <v>2626</v>
      </c>
      <c r="B1045" s="252"/>
      <c r="C1045" s="252"/>
      <c r="D1045" s="252"/>
    </row>
    <row r="1046" spans="1:4" x14ac:dyDescent="0.35">
      <c r="A1046" s="252" t="s">
        <v>2627</v>
      </c>
      <c r="B1046" s="252"/>
      <c r="C1046" s="252"/>
      <c r="D1046" s="252"/>
    </row>
    <row r="1047" spans="1:4" x14ac:dyDescent="0.35">
      <c r="A1047" s="252" t="s">
        <v>2628</v>
      </c>
      <c r="B1047" s="252"/>
      <c r="C1047" s="252"/>
      <c r="D1047" s="252"/>
    </row>
    <row r="1048" spans="1:4" x14ac:dyDescent="0.35">
      <c r="A1048" s="252" t="s">
        <v>2629</v>
      </c>
      <c r="B1048" s="252"/>
      <c r="C1048" s="252"/>
      <c r="D1048" s="252"/>
    </row>
    <row r="1049" spans="1:4" x14ac:dyDescent="0.35">
      <c r="A1049" s="252" t="s">
        <v>2630</v>
      </c>
      <c r="B1049" s="252"/>
      <c r="C1049" s="252"/>
      <c r="D1049" s="252"/>
    </row>
    <row r="1050" spans="1:4" x14ac:dyDescent="0.35">
      <c r="A1050" s="252" t="s">
        <v>2631</v>
      </c>
      <c r="B1050" s="252"/>
      <c r="C1050" s="252"/>
      <c r="D1050" s="252"/>
    </row>
    <row r="1051" spans="1:4" x14ac:dyDescent="0.35">
      <c r="A1051" s="252" t="s">
        <v>2632</v>
      </c>
      <c r="B1051" s="252"/>
      <c r="C1051" s="252"/>
      <c r="D1051" s="252"/>
    </row>
    <row r="1052" spans="1:4" x14ac:dyDescent="0.35">
      <c r="A1052" s="252" t="s">
        <v>2633</v>
      </c>
      <c r="B1052" s="252"/>
      <c r="C1052" s="252"/>
      <c r="D1052" s="252"/>
    </row>
    <row r="1053" spans="1:4" x14ac:dyDescent="0.35">
      <c r="A1053" s="252" t="s">
        <v>2634</v>
      </c>
      <c r="B1053" s="252"/>
      <c r="C1053" s="252"/>
      <c r="D1053" s="252"/>
    </row>
    <row r="1054" spans="1:4" x14ac:dyDescent="0.35">
      <c r="A1054" s="252" t="s">
        <v>2635</v>
      </c>
      <c r="B1054" s="252"/>
      <c r="C1054" s="252"/>
      <c r="D1054" s="252"/>
    </row>
    <row r="1055" spans="1:4" x14ac:dyDescent="0.35">
      <c r="A1055" s="252" t="s">
        <v>2636</v>
      </c>
      <c r="B1055" s="252"/>
      <c r="C1055" s="252"/>
      <c r="D1055" s="252"/>
    </row>
    <row r="1056" spans="1:4" x14ac:dyDescent="0.35">
      <c r="A1056" s="252" t="s">
        <v>2637</v>
      </c>
      <c r="B1056" s="252"/>
      <c r="C1056" s="252"/>
      <c r="D1056" s="252"/>
    </row>
    <row r="1057" spans="1:4" x14ac:dyDescent="0.35">
      <c r="A1057" s="252" t="s">
        <v>2638</v>
      </c>
      <c r="B1057" s="252"/>
      <c r="C1057" s="252"/>
      <c r="D1057" s="252"/>
    </row>
    <row r="1058" spans="1:4" x14ac:dyDescent="0.35">
      <c r="A1058" s="252" t="s">
        <v>2639</v>
      </c>
      <c r="B1058" s="252"/>
      <c r="C1058" s="252"/>
      <c r="D1058" s="252"/>
    </row>
    <row r="1059" spans="1:4" x14ac:dyDescent="0.35">
      <c r="A1059" s="252" t="s">
        <v>2640</v>
      </c>
      <c r="B1059" s="252"/>
      <c r="C1059" s="252"/>
      <c r="D1059" s="252"/>
    </row>
    <row r="1060" spans="1:4" x14ac:dyDescent="0.35">
      <c r="A1060" s="252" t="s">
        <v>2641</v>
      </c>
      <c r="B1060" s="252"/>
      <c r="C1060" s="252"/>
      <c r="D1060" s="252"/>
    </row>
    <row r="1061" spans="1:4" x14ac:dyDescent="0.35">
      <c r="A1061" s="252" t="s">
        <v>2642</v>
      </c>
      <c r="B1061" s="252"/>
      <c r="C1061" s="252"/>
      <c r="D1061" s="252"/>
    </row>
    <row r="1062" spans="1:4" x14ac:dyDescent="0.35">
      <c r="A1062" s="252" t="s">
        <v>2643</v>
      </c>
      <c r="B1062" s="252"/>
      <c r="C1062" s="252"/>
      <c r="D1062" s="252"/>
    </row>
    <row r="1063" spans="1:4" x14ac:dyDescent="0.35">
      <c r="A1063" s="252" t="s">
        <v>2644</v>
      </c>
      <c r="B1063" s="252"/>
      <c r="C1063" s="252"/>
      <c r="D1063" s="252"/>
    </row>
    <row r="1064" spans="1:4" x14ac:dyDescent="0.35">
      <c r="A1064" s="252" t="s">
        <v>2645</v>
      </c>
      <c r="B1064" s="252"/>
      <c r="C1064" s="252"/>
      <c r="D1064" s="252"/>
    </row>
    <row r="1065" spans="1:4" x14ac:dyDescent="0.35">
      <c r="A1065" s="252" t="s">
        <v>2646</v>
      </c>
      <c r="B1065" s="252"/>
      <c r="C1065" s="252"/>
      <c r="D1065" s="252"/>
    </row>
    <row r="1066" spans="1:4" x14ac:dyDescent="0.35">
      <c r="A1066" s="252" t="s">
        <v>2647</v>
      </c>
      <c r="B1066" s="252"/>
      <c r="C1066" s="252"/>
      <c r="D1066" s="252"/>
    </row>
    <row r="1067" spans="1:4" x14ac:dyDescent="0.35">
      <c r="A1067" s="252" t="s">
        <v>2648</v>
      </c>
      <c r="B1067" s="252"/>
      <c r="C1067" s="252"/>
      <c r="D1067" s="252"/>
    </row>
    <row r="1068" spans="1:4" x14ac:dyDescent="0.35">
      <c r="A1068" s="252" t="s">
        <v>2649</v>
      </c>
      <c r="B1068" s="252"/>
      <c r="C1068" s="252"/>
      <c r="D1068" s="252"/>
    </row>
    <row r="1069" spans="1:4" x14ac:dyDescent="0.35">
      <c r="A1069" s="252" t="s">
        <v>2650</v>
      </c>
      <c r="B1069" s="252"/>
      <c r="C1069" s="252"/>
      <c r="D1069" s="252"/>
    </row>
    <row r="1070" spans="1:4" x14ac:dyDescent="0.35">
      <c r="A1070" s="252" t="s">
        <v>2651</v>
      </c>
      <c r="B1070" s="252"/>
      <c r="C1070" s="252"/>
      <c r="D1070" s="252"/>
    </row>
    <row r="1071" spans="1:4" x14ac:dyDescent="0.35">
      <c r="A1071" s="252" t="s">
        <v>2652</v>
      </c>
      <c r="B1071" s="252"/>
      <c r="C1071" s="252"/>
      <c r="D1071" s="252"/>
    </row>
    <row r="1072" spans="1:4" x14ac:dyDescent="0.35">
      <c r="A1072" s="252" t="s">
        <v>2653</v>
      </c>
      <c r="B1072" s="252"/>
      <c r="C1072" s="252"/>
      <c r="D1072" s="252"/>
    </row>
    <row r="1073" spans="1:4" x14ac:dyDescent="0.35">
      <c r="A1073" s="252" t="s">
        <v>2654</v>
      </c>
      <c r="B1073" s="252"/>
      <c r="C1073" s="252"/>
      <c r="D1073" s="252"/>
    </row>
    <row r="1074" spans="1:4" x14ac:dyDescent="0.35">
      <c r="A1074" s="252" t="s">
        <v>2655</v>
      </c>
      <c r="B1074" s="252"/>
      <c r="C1074" s="252"/>
      <c r="D1074" s="252"/>
    </row>
    <row r="1075" spans="1:4" x14ac:dyDescent="0.35">
      <c r="A1075" s="252" t="s">
        <v>2656</v>
      </c>
      <c r="B1075" s="252"/>
      <c r="C1075" s="252"/>
      <c r="D1075" s="252"/>
    </row>
    <row r="1076" spans="1:4" x14ac:dyDescent="0.35">
      <c r="A1076" s="252" t="s">
        <v>2657</v>
      </c>
      <c r="B1076" s="252"/>
      <c r="C1076" s="252"/>
      <c r="D1076" s="252"/>
    </row>
    <row r="1077" spans="1:4" x14ac:dyDescent="0.35">
      <c r="A1077" s="252" t="s">
        <v>2658</v>
      </c>
      <c r="B1077" s="252"/>
      <c r="C1077" s="252"/>
      <c r="D1077" s="252"/>
    </row>
    <row r="1078" spans="1:4" x14ac:dyDescent="0.35">
      <c r="A1078" s="252" t="s">
        <v>2659</v>
      </c>
      <c r="B1078" s="252"/>
      <c r="C1078" s="252"/>
      <c r="D1078" s="252"/>
    </row>
    <row r="1079" spans="1:4" x14ac:dyDescent="0.35">
      <c r="A1079" s="252" t="s">
        <v>2660</v>
      </c>
      <c r="B1079" s="252"/>
      <c r="C1079" s="252"/>
      <c r="D1079" s="252"/>
    </row>
    <row r="1080" spans="1:4" x14ac:dyDescent="0.35">
      <c r="A1080" s="252" t="s">
        <v>2661</v>
      </c>
      <c r="B1080" s="252"/>
      <c r="C1080" s="252"/>
      <c r="D1080" s="252"/>
    </row>
    <row r="1081" spans="1:4" x14ac:dyDescent="0.35">
      <c r="A1081" s="252" t="s">
        <v>2662</v>
      </c>
      <c r="B1081" s="252"/>
      <c r="C1081" s="252"/>
      <c r="D1081" s="252"/>
    </row>
    <row r="1082" spans="1:4" x14ac:dyDescent="0.35">
      <c r="A1082" s="252" t="s">
        <v>2663</v>
      </c>
      <c r="B1082" s="252"/>
      <c r="C1082" s="252"/>
      <c r="D1082" s="252"/>
    </row>
    <row r="1083" spans="1:4" x14ac:dyDescent="0.35">
      <c r="A1083" s="252" t="s">
        <v>2664</v>
      </c>
      <c r="B1083" s="252"/>
      <c r="C1083" s="252"/>
      <c r="D1083" s="252"/>
    </row>
    <row r="1084" spans="1:4" x14ac:dyDescent="0.35">
      <c r="A1084" s="252" t="s">
        <v>2665</v>
      </c>
      <c r="B1084" s="252"/>
      <c r="C1084" s="252"/>
      <c r="D1084" s="252"/>
    </row>
    <row r="1085" spans="1:4" x14ac:dyDescent="0.35">
      <c r="A1085" s="252" t="s">
        <v>2666</v>
      </c>
      <c r="B1085" s="252"/>
      <c r="C1085" s="252"/>
      <c r="D1085" s="252"/>
    </row>
    <row r="1086" spans="1:4" x14ac:dyDescent="0.35">
      <c r="A1086" s="252" t="s">
        <v>2667</v>
      </c>
      <c r="B1086" s="252"/>
      <c r="C1086" s="252"/>
      <c r="D1086" s="252"/>
    </row>
    <row r="1087" spans="1:4" x14ac:dyDescent="0.35">
      <c r="A1087" s="252" t="s">
        <v>2668</v>
      </c>
      <c r="B1087" s="252"/>
      <c r="C1087" s="252"/>
      <c r="D1087" s="252"/>
    </row>
    <row r="1088" spans="1:4" x14ac:dyDescent="0.35">
      <c r="A1088" s="252" t="s">
        <v>2669</v>
      </c>
      <c r="B1088" s="252"/>
      <c r="C1088" s="252"/>
      <c r="D1088" s="252"/>
    </row>
    <row r="1089" spans="1:4" x14ac:dyDescent="0.35">
      <c r="A1089" s="252" t="s">
        <v>2670</v>
      </c>
      <c r="B1089" s="252"/>
      <c r="C1089" s="252"/>
      <c r="D1089" s="252"/>
    </row>
    <row r="1090" spans="1:4" x14ac:dyDescent="0.35">
      <c r="A1090" s="252" t="s">
        <v>2671</v>
      </c>
      <c r="B1090" s="252"/>
      <c r="C1090" s="252"/>
      <c r="D1090" s="252"/>
    </row>
    <row r="1091" spans="1:4" x14ac:dyDescent="0.35">
      <c r="A1091" s="252" t="s">
        <v>2672</v>
      </c>
      <c r="B1091" s="252"/>
      <c r="C1091" s="252"/>
      <c r="D1091" s="252"/>
    </row>
    <row r="1092" spans="1:4" x14ac:dyDescent="0.35">
      <c r="A1092" s="252" t="s">
        <v>2673</v>
      </c>
      <c r="B1092" s="252"/>
      <c r="C1092" s="252"/>
      <c r="D1092" s="252"/>
    </row>
    <row r="1093" spans="1:4" x14ac:dyDescent="0.35">
      <c r="A1093" s="252" t="s">
        <v>2674</v>
      </c>
      <c r="B1093" s="252"/>
      <c r="C1093" s="252"/>
      <c r="D1093" s="252"/>
    </row>
    <row r="1094" spans="1:4" x14ac:dyDescent="0.35">
      <c r="A1094" s="252" t="s">
        <v>2675</v>
      </c>
      <c r="B1094" s="252"/>
      <c r="C1094" s="252"/>
      <c r="D1094" s="252"/>
    </row>
    <row r="1095" spans="1:4" x14ac:dyDescent="0.35">
      <c r="A1095" s="252" t="s">
        <v>2676</v>
      </c>
      <c r="B1095" s="252"/>
      <c r="C1095" s="252"/>
      <c r="D1095" s="252"/>
    </row>
    <row r="1096" spans="1:4" x14ac:dyDescent="0.35">
      <c r="A1096" s="252" t="s">
        <v>2677</v>
      </c>
      <c r="B1096" s="252"/>
      <c r="C1096" s="252"/>
      <c r="D1096" s="252"/>
    </row>
    <row r="1097" spans="1:4" x14ac:dyDescent="0.35">
      <c r="A1097" s="252" t="s">
        <v>2678</v>
      </c>
      <c r="B1097" s="252"/>
      <c r="C1097" s="252"/>
      <c r="D1097" s="252"/>
    </row>
    <row r="1098" spans="1:4" x14ac:dyDescent="0.35">
      <c r="A1098" s="252" t="s">
        <v>2679</v>
      </c>
      <c r="B1098" s="252"/>
      <c r="C1098" s="252"/>
      <c r="D1098" s="252"/>
    </row>
    <row r="1099" spans="1:4" x14ac:dyDescent="0.35">
      <c r="A1099" s="252" t="s">
        <v>2680</v>
      </c>
      <c r="B1099" s="252"/>
      <c r="C1099" s="252"/>
      <c r="D1099" s="252"/>
    </row>
    <row r="1100" spans="1:4" x14ac:dyDescent="0.35">
      <c r="A1100" s="252" t="s">
        <v>2681</v>
      </c>
      <c r="B1100" s="252"/>
      <c r="C1100" s="252"/>
      <c r="D1100" s="252"/>
    </row>
    <row r="1101" spans="1:4" x14ac:dyDescent="0.35">
      <c r="A1101" s="252" t="s">
        <v>2682</v>
      </c>
      <c r="B1101" s="252"/>
      <c r="C1101" s="252"/>
      <c r="D1101" s="252"/>
    </row>
    <row r="1102" spans="1:4" x14ac:dyDescent="0.35">
      <c r="A1102" s="252" t="s">
        <v>2683</v>
      </c>
      <c r="B1102" s="252"/>
      <c r="C1102" s="252"/>
      <c r="D1102" s="252"/>
    </row>
    <row r="1103" spans="1:4" x14ac:dyDescent="0.35">
      <c r="A1103" s="252" t="s">
        <v>2684</v>
      </c>
      <c r="B1103" s="252"/>
      <c r="C1103" s="252"/>
      <c r="D1103" s="252"/>
    </row>
    <row r="1104" spans="1:4" x14ac:dyDescent="0.35">
      <c r="A1104" s="252" t="s">
        <v>2685</v>
      </c>
      <c r="B1104" s="252"/>
      <c r="C1104" s="252"/>
      <c r="D1104" s="252"/>
    </row>
    <row r="1105" spans="1:4" x14ac:dyDescent="0.35">
      <c r="A1105" s="252" t="s">
        <v>2686</v>
      </c>
      <c r="B1105" s="252"/>
      <c r="C1105" s="252"/>
      <c r="D1105" s="252"/>
    </row>
    <row r="1106" spans="1:4" x14ac:dyDescent="0.35">
      <c r="A1106" s="252" t="s">
        <v>2687</v>
      </c>
      <c r="B1106" s="252"/>
      <c r="C1106" s="252"/>
      <c r="D1106" s="252"/>
    </row>
    <row r="1107" spans="1:4" x14ac:dyDescent="0.35">
      <c r="A1107" s="252" t="s">
        <v>2688</v>
      </c>
      <c r="B1107" s="252"/>
      <c r="C1107" s="252"/>
      <c r="D1107" s="252"/>
    </row>
    <row r="1108" spans="1:4" x14ac:dyDescent="0.35">
      <c r="A1108" s="252" t="s">
        <v>2689</v>
      </c>
      <c r="B1108" s="252"/>
      <c r="C1108" s="252"/>
      <c r="D1108" s="252"/>
    </row>
    <row r="1109" spans="1:4" x14ac:dyDescent="0.35">
      <c r="A1109" s="252" t="s">
        <v>2690</v>
      </c>
      <c r="B1109" s="252"/>
      <c r="C1109" s="252"/>
      <c r="D1109" s="252"/>
    </row>
    <row r="1110" spans="1:4" x14ac:dyDescent="0.35">
      <c r="A1110" s="252" t="s">
        <v>2691</v>
      </c>
      <c r="B1110" s="252"/>
      <c r="C1110" s="252"/>
      <c r="D1110" s="252"/>
    </row>
    <row r="1111" spans="1:4" x14ac:dyDescent="0.35">
      <c r="A1111" s="252" t="s">
        <v>2692</v>
      </c>
      <c r="B1111" s="252"/>
      <c r="C1111" s="252"/>
      <c r="D1111" s="252"/>
    </row>
    <row r="1112" spans="1:4" x14ac:dyDescent="0.35">
      <c r="A1112" s="252" t="s">
        <v>2693</v>
      </c>
      <c r="B1112" s="252"/>
      <c r="C1112" s="252"/>
      <c r="D1112" s="252"/>
    </row>
    <row r="1113" spans="1:4" x14ac:dyDescent="0.35">
      <c r="A1113" s="252" t="s">
        <v>2694</v>
      </c>
      <c r="B1113" s="252"/>
      <c r="C1113" s="252"/>
      <c r="D1113" s="252"/>
    </row>
    <row r="1114" spans="1:4" x14ac:dyDescent="0.35">
      <c r="A1114" s="252" t="s">
        <v>2695</v>
      </c>
      <c r="B1114" s="252"/>
      <c r="C1114" s="252"/>
      <c r="D1114" s="252"/>
    </row>
    <row r="1115" spans="1:4" x14ac:dyDescent="0.35">
      <c r="A1115" s="252" t="s">
        <v>2696</v>
      </c>
      <c r="B1115" s="252"/>
      <c r="C1115" s="252"/>
      <c r="D1115" s="252"/>
    </row>
    <row r="1116" spans="1:4" x14ac:dyDescent="0.35">
      <c r="A1116" s="252" t="s">
        <v>2697</v>
      </c>
      <c r="B1116" s="252"/>
      <c r="C1116" s="252"/>
      <c r="D1116" s="252"/>
    </row>
    <row r="1117" spans="1:4" x14ac:dyDescent="0.35">
      <c r="A1117" s="252" t="s">
        <v>2698</v>
      </c>
      <c r="B1117" s="252"/>
      <c r="C1117" s="252"/>
      <c r="D1117" s="252"/>
    </row>
    <row r="1118" spans="1:4" x14ac:dyDescent="0.35">
      <c r="A1118" s="252" t="s">
        <v>2699</v>
      </c>
      <c r="B1118" s="252"/>
      <c r="C1118" s="252"/>
      <c r="D1118" s="252"/>
    </row>
    <row r="1119" spans="1:4" x14ac:dyDescent="0.35">
      <c r="A1119" s="252" t="s">
        <v>2700</v>
      </c>
      <c r="B1119" s="252"/>
      <c r="C1119" s="252"/>
      <c r="D1119" s="252"/>
    </row>
    <row r="1120" spans="1:4" x14ac:dyDescent="0.35">
      <c r="A1120" s="252" t="s">
        <v>2701</v>
      </c>
      <c r="B1120" s="252"/>
      <c r="C1120" s="252"/>
      <c r="D1120" s="252"/>
    </row>
    <row r="1121" spans="1:4" x14ac:dyDescent="0.35">
      <c r="A1121" s="252" t="s">
        <v>2702</v>
      </c>
      <c r="B1121" s="252"/>
      <c r="C1121" s="252"/>
      <c r="D1121" s="252"/>
    </row>
    <row r="1122" spans="1:4" x14ac:dyDescent="0.35">
      <c r="A1122" s="252" t="s">
        <v>2703</v>
      </c>
      <c r="B1122" s="252"/>
      <c r="C1122" s="252"/>
      <c r="D1122" s="252"/>
    </row>
    <row r="1123" spans="1:4" x14ac:dyDescent="0.35">
      <c r="A1123" s="252" t="s">
        <v>2704</v>
      </c>
      <c r="B1123" s="252"/>
      <c r="C1123" s="252"/>
      <c r="D1123" s="252"/>
    </row>
    <row r="1124" spans="1:4" x14ac:dyDescent="0.35">
      <c r="A1124" s="252" t="s">
        <v>2705</v>
      </c>
      <c r="B1124" s="252"/>
      <c r="C1124" s="252"/>
      <c r="D1124" s="252"/>
    </row>
    <row r="1125" spans="1:4" x14ac:dyDescent="0.35">
      <c r="A1125" s="252" t="s">
        <v>2706</v>
      </c>
      <c r="B1125" s="252"/>
      <c r="C1125" s="252"/>
      <c r="D1125" s="252"/>
    </row>
    <row r="1126" spans="1:4" x14ac:dyDescent="0.35">
      <c r="A1126" s="252" t="s">
        <v>2707</v>
      </c>
      <c r="B1126" s="252"/>
      <c r="C1126" s="252"/>
      <c r="D1126" s="252"/>
    </row>
    <row r="1127" spans="1:4" x14ac:dyDescent="0.35">
      <c r="A1127" s="252" t="s">
        <v>2708</v>
      </c>
      <c r="B1127" s="252"/>
      <c r="C1127" s="252"/>
      <c r="D1127" s="252"/>
    </row>
    <row r="1128" spans="1:4" x14ac:dyDescent="0.35">
      <c r="A1128" s="252" t="s">
        <v>2709</v>
      </c>
      <c r="B1128" s="252"/>
      <c r="C1128" s="252"/>
      <c r="D1128" s="252"/>
    </row>
    <row r="1129" spans="1:4" x14ac:dyDescent="0.35">
      <c r="A1129" s="252" t="s">
        <v>2710</v>
      </c>
      <c r="B1129" s="252" t="s">
        <v>3293</v>
      </c>
      <c r="C1129" s="252"/>
      <c r="D1129" s="252" t="s">
        <v>3292</v>
      </c>
    </row>
    <row r="1130" spans="1:4" x14ac:dyDescent="0.35">
      <c r="A1130" s="252" t="s">
        <v>2711</v>
      </c>
      <c r="B1130" s="252"/>
      <c r="C1130" s="252"/>
      <c r="D1130" s="252"/>
    </row>
    <row r="1131" spans="1:4" x14ac:dyDescent="0.35">
      <c r="A1131" s="252" t="s">
        <v>2712</v>
      </c>
      <c r="B1131" s="252"/>
      <c r="C1131" s="252"/>
      <c r="D1131" s="252"/>
    </row>
    <row r="1132" spans="1:4" x14ac:dyDescent="0.35">
      <c r="A1132" s="252" t="s">
        <v>2713</v>
      </c>
      <c r="B1132" s="252"/>
      <c r="C1132" s="252"/>
      <c r="D1132" s="252"/>
    </row>
    <row r="1133" spans="1:4" x14ac:dyDescent="0.35">
      <c r="A1133" s="252" t="s">
        <v>2714</v>
      </c>
      <c r="B1133" s="252"/>
      <c r="C1133" s="252"/>
      <c r="D1133" s="252"/>
    </row>
    <row r="1134" spans="1:4" x14ac:dyDescent="0.35">
      <c r="A1134" s="252" t="s">
        <v>2715</v>
      </c>
      <c r="B1134" s="252"/>
      <c r="C1134" s="252"/>
      <c r="D1134" s="252"/>
    </row>
    <row r="1135" spans="1:4" x14ac:dyDescent="0.35">
      <c r="A1135" s="252" t="s">
        <v>2716</v>
      </c>
      <c r="B1135" s="252"/>
      <c r="C1135" s="252"/>
      <c r="D1135" s="252"/>
    </row>
    <row r="1136" spans="1:4" x14ac:dyDescent="0.35">
      <c r="A1136" s="252" t="s">
        <v>2717</v>
      </c>
      <c r="B1136" s="252"/>
      <c r="C1136" s="252"/>
      <c r="D1136" s="252"/>
    </row>
    <row r="1137" spans="1:4" x14ac:dyDescent="0.35">
      <c r="A1137" s="252" t="s">
        <v>2718</v>
      </c>
      <c r="B1137" s="252"/>
      <c r="C1137" s="252"/>
      <c r="D1137" s="252"/>
    </row>
    <row r="1138" spans="1:4" x14ac:dyDescent="0.35">
      <c r="A1138" s="252" t="s">
        <v>2719</v>
      </c>
      <c r="B1138" s="252"/>
      <c r="C1138" s="252"/>
      <c r="D1138" s="252"/>
    </row>
    <row r="1139" spans="1:4" x14ac:dyDescent="0.35">
      <c r="A1139" s="252" t="s">
        <v>2720</v>
      </c>
      <c r="B1139" s="252"/>
      <c r="C1139" s="252"/>
      <c r="D1139" s="252"/>
    </row>
    <row r="1140" spans="1:4" x14ac:dyDescent="0.35">
      <c r="A1140" s="252" t="s">
        <v>2721</v>
      </c>
      <c r="B1140" s="252"/>
      <c r="C1140" s="252"/>
      <c r="D1140" s="252"/>
    </row>
    <row r="1141" spans="1:4" x14ac:dyDescent="0.35">
      <c r="A1141" s="252" t="s">
        <v>2722</v>
      </c>
      <c r="B1141" s="252"/>
      <c r="C1141" s="252"/>
      <c r="D1141" s="252"/>
    </row>
    <row r="1142" spans="1:4" x14ac:dyDescent="0.35">
      <c r="A1142" s="252" t="s">
        <v>2723</v>
      </c>
      <c r="B1142" s="252"/>
      <c r="C1142" s="252"/>
      <c r="D1142" s="252"/>
    </row>
    <row r="1143" spans="1:4" x14ac:dyDescent="0.35">
      <c r="A1143" s="252" t="s">
        <v>2724</v>
      </c>
      <c r="B1143" s="252"/>
      <c r="C1143" s="252"/>
      <c r="D1143" s="252"/>
    </row>
    <row r="1144" spans="1:4" x14ac:dyDescent="0.35">
      <c r="A1144" s="252" t="s">
        <v>2725</v>
      </c>
      <c r="B1144" s="252"/>
      <c r="C1144" s="252"/>
      <c r="D1144" s="252"/>
    </row>
    <row r="1145" spans="1:4" x14ac:dyDescent="0.35">
      <c r="A1145" s="252" t="s">
        <v>2726</v>
      </c>
      <c r="B1145" s="252"/>
      <c r="C1145" s="252"/>
      <c r="D1145" s="252"/>
    </row>
    <row r="1146" spans="1:4" x14ac:dyDescent="0.35">
      <c r="A1146" s="252" t="s">
        <v>2727</v>
      </c>
      <c r="B1146" s="252"/>
      <c r="C1146" s="252"/>
      <c r="D1146" s="252"/>
    </row>
    <row r="1147" spans="1:4" x14ac:dyDescent="0.35">
      <c r="A1147" s="252" t="s">
        <v>2728</v>
      </c>
      <c r="B1147" s="252"/>
      <c r="C1147" s="252"/>
      <c r="D1147" s="252"/>
    </row>
    <row r="1148" spans="1:4" x14ac:dyDescent="0.35">
      <c r="A1148" s="252" t="s">
        <v>2729</v>
      </c>
      <c r="B1148" s="252"/>
      <c r="C1148" s="252"/>
      <c r="D1148" s="252"/>
    </row>
    <row r="1149" spans="1:4" x14ac:dyDescent="0.35">
      <c r="A1149" s="252" t="s">
        <v>2730</v>
      </c>
      <c r="B1149" s="252"/>
      <c r="C1149" s="252"/>
      <c r="D1149" s="252"/>
    </row>
    <row r="1150" spans="1:4" x14ac:dyDescent="0.35">
      <c r="A1150" s="252" t="s">
        <v>2731</v>
      </c>
      <c r="B1150" s="252"/>
      <c r="C1150" s="252"/>
      <c r="D1150" s="252"/>
    </row>
    <row r="1151" spans="1:4" x14ac:dyDescent="0.35">
      <c r="A1151" s="252" t="s">
        <v>2732</v>
      </c>
      <c r="B1151" s="252"/>
      <c r="C1151" s="252"/>
      <c r="D1151" s="252"/>
    </row>
    <row r="1152" spans="1:4" x14ac:dyDescent="0.35">
      <c r="A1152" s="252" t="s">
        <v>2733</v>
      </c>
      <c r="B1152" s="252"/>
      <c r="C1152" s="252"/>
      <c r="D1152" s="252"/>
    </row>
    <row r="1153" spans="1:4" x14ac:dyDescent="0.35">
      <c r="A1153" s="252" t="s">
        <v>2734</v>
      </c>
      <c r="B1153" s="252"/>
      <c r="C1153" s="252"/>
      <c r="D1153" s="252"/>
    </row>
    <row r="1154" spans="1:4" x14ac:dyDescent="0.35">
      <c r="A1154" s="252" t="s">
        <v>2735</v>
      </c>
      <c r="B1154" s="252"/>
      <c r="C1154" s="252"/>
      <c r="D1154" s="252"/>
    </row>
    <row r="1155" spans="1:4" x14ac:dyDescent="0.35">
      <c r="A1155" s="252" t="s">
        <v>2736</v>
      </c>
      <c r="B1155" s="252"/>
      <c r="C1155" s="252"/>
      <c r="D1155" s="252"/>
    </row>
    <row r="1156" spans="1:4" x14ac:dyDescent="0.35">
      <c r="A1156" s="252" t="s">
        <v>2737</v>
      </c>
      <c r="B1156" s="252"/>
      <c r="C1156" s="252"/>
      <c r="D1156" s="252"/>
    </row>
    <row r="1157" spans="1:4" x14ac:dyDescent="0.35">
      <c r="A1157" s="252" t="s">
        <v>2738</v>
      </c>
      <c r="B1157" s="252"/>
      <c r="C1157" s="252"/>
      <c r="D1157" s="252"/>
    </row>
    <row r="1158" spans="1:4" x14ac:dyDescent="0.35">
      <c r="A1158" s="252" t="s">
        <v>2739</v>
      </c>
      <c r="B1158" s="252"/>
      <c r="C1158" s="252"/>
      <c r="D1158" s="252"/>
    </row>
    <row r="1159" spans="1:4" x14ac:dyDescent="0.35">
      <c r="A1159" s="252" t="s">
        <v>2740</v>
      </c>
      <c r="B1159" s="252"/>
      <c r="C1159" s="252"/>
      <c r="D1159" s="252"/>
    </row>
    <row r="1160" spans="1:4" x14ac:dyDescent="0.35">
      <c r="A1160" s="252" t="s">
        <v>2741</v>
      </c>
      <c r="B1160" s="252"/>
      <c r="C1160" s="252"/>
      <c r="D1160" s="252"/>
    </row>
    <row r="1161" spans="1:4" x14ac:dyDescent="0.35">
      <c r="A1161" s="252" t="s">
        <v>2742</v>
      </c>
      <c r="B1161" s="252"/>
      <c r="C1161" s="252"/>
      <c r="D1161" s="252"/>
    </row>
    <row r="1162" spans="1:4" x14ac:dyDescent="0.35">
      <c r="A1162" s="252" t="s">
        <v>2743</v>
      </c>
      <c r="B1162" s="252"/>
      <c r="C1162" s="252"/>
      <c r="D1162" s="252"/>
    </row>
    <row r="1163" spans="1:4" x14ac:dyDescent="0.35">
      <c r="A1163" s="252" t="s">
        <v>2744</v>
      </c>
      <c r="B1163" s="252"/>
      <c r="C1163" s="252"/>
      <c r="D1163" s="252"/>
    </row>
    <row r="1164" spans="1:4" x14ac:dyDescent="0.35">
      <c r="A1164" s="252" t="s">
        <v>2745</v>
      </c>
      <c r="B1164" s="252"/>
      <c r="C1164" s="252"/>
      <c r="D1164" s="252"/>
    </row>
    <row r="1165" spans="1:4" x14ac:dyDescent="0.35">
      <c r="A1165" s="252" t="s">
        <v>2746</v>
      </c>
      <c r="B1165" s="252" t="s">
        <v>3376</v>
      </c>
      <c r="C1165" s="252"/>
      <c r="D1165" s="252" t="s">
        <v>3377</v>
      </c>
    </row>
    <row r="1166" spans="1:4" x14ac:dyDescent="0.35">
      <c r="A1166" s="252" t="s">
        <v>2747</v>
      </c>
      <c r="B1166" s="252"/>
      <c r="C1166" s="252"/>
      <c r="D1166" s="252"/>
    </row>
    <row r="1167" spans="1:4" x14ac:dyDescent="0.35">
      <c r="A1167" s="252" t="s">
        <v>2748</v>
      </c>
      <c r="B1167" s="252"/>
      <c r="C1167" s="252"/>
      <c r="D1167" s="252"/>
    </row>
    <row r="1168" spans="1:4" x14ac:dyDescent="0.35">
      <c r="A1168" s="252" t="s">
        <v>2749</v>
      </c>
      <c r="B1168" s="252"/>
      <c r="C1168" s="252"/>
      <c r="D1168" s="252"/>
    </row>
    <row r="1169" spans="1:4" x14ac:dyDescent="0.35">
      <c r="A1169" s="252" t="s">
        <v>2750</v>
      </c>
      <c r="B1169" s="252"/>
      <c r="C1169" s="252"/>
      <c r="D1169" s="252"/>
    </row>
    <row r="1170" spans="1:4" x14ac:dyDescent="0.35">
      <c r="A1170" s="252" t="s">
        <v>2751</v>
      </c>
      <c r="B1170" s="252"/>
      <c r="C1170" s="252"/>
      <c r="D1170" s="252"/>
    </row>
    <row r="1171" spans="1:4" x14ac:dyDescent="0.35">
      <c r="A1171" s="252" t="s">
        <v>2752</v>
      </c>
      <c r="B1171" s="252"/>
      <c r="C1171" s="252"/>
      <c r="D1171" s="252"/>
    </row>
    <row r="1172" spans="1:4" x14ac:dyDescent="0.35">
      <c r="A1172" s="252" t="s">
        <v>2753</v>
      </c>
      <c r="B1172" s="252"/>
      <c r="C1172" s="252"/>
      <c r="D1172" s="252"/>
    </row>
    <row r="1173" spans="1:4" x14ac:dyDescent="0.35">
      <c r="A1173" s="252" t="s">
        <v>2754</v>
      </c>
      <c r="B1173" s="252"/>
      <c r="C1173" s="252"/>
      <c r="D1173" s="252"/>
    </row>
    <row r="1174" spans="1:4" x14ac:dyDescent="0.35">
      <c r="A1174" s="252" t="s">
        <v>2755</v>
      </c>
      <c r="B1174" s="252"/>
      <c r="C1174" s="252"/>
      <c r="D1174" s="252"/>
    </row>
    <row r="1175" spans="1:4" x14ac:dyDescent="0.35">
      <c r="A1175" s="252" t="s">
        <v>2756</v>
      </c>
      <c r="B1175" s="252"/>
      <c r="C1175" s="252"/>
      <c r="D1175" s="252"/>
    </row>
    <row r="1176" spans="1:4" x14ac:dyDescent="0.35">
      <c r="A1176" s="252" t="s">
        <v>2757</v>
      </c>
      <c r="B1176" s="252"/>
      <c r="C1176" s="252"/>
      <c r="D1176" s="252"/>
    </row>
    <row r="1177" spans="1:4" x14ac:dyDescent="0.35">
      <c r="A1177" s="252" t="s">
        <v>2758</v>
      </c>
      <c r="B1177" s="252"/>
      <c r="C1177" s="252"/>
      <c r="D1177" s="252"/>
    </row>
    <row r="1178" spans="1:4" x14ac:dyDescent="0.35">
      <c r="A1178" s="252" t="s">
        <v>2759</v>
      </c>
      <c r="B1178" s="252"/>
      <c r="C1178" s="252"/>
      <c r="D1178" s="252"/>
    </row>
    <row r="1179" spans="1:4" x14ac:dyDescent="0.35">
      <c r="A1179" s="252" t="s">
        <v>2760</v>
      </c>
      <c r="B1179" s="252"/>
      <c r="C1179" s="252"/>
      <c r="D1179" s="252"/>
    </row>
    <row r="1180" spans="1:4" x14ac:dyDescent="0.35">
      <c r="A1180" s="252" t="s">
        <v>2761</v>
      </c>
      <c r="B1180" s="252"/>
      <c r="C1180" s="252"/>
      <c r="D1180" s="252"/>
    </row>
    <row r="1181" spans="1:4" x14ac:dyDescent="0.35">
      <c r="A1181" s="252" t="s">
        <v>2762</v>
      </c>
      <c r="B1181" s="252"/>
      <c r="C1181" s="252"/>
      <c r="D1181" s="252"/>
    </row>
    <row r="1182" spans="1:4" x14ac:dyDescent="0.35">
      <c r="A1182" s="252" t="s">
        <v>2763</v>
      </c>
      <c r="B1182" s="252"/>
      <c r="C1182" s="252"/>
      <c r="D1182" s="252"/>
    </row>
    <row r="1183" spans="1:4" x14ac:dyDescent="0.35">
      <c r="A1183" s="252" t="s">
        <v>2764</v>
      </c>
      <c r="B1183" s="252"/>
      <c r="C1183" s="252"/>
      <c r="D1183" s="252"/>
    </row>
    <row r="1184" spans="1:4" x14ac:dyDescent="0.35">
      <c r="A1184" s="252" t="s">
        <v>2765</v>
      </c>
      <c r="B1184" s="252"/>
      <c r="C1184" s="252"/>
      <c r="D1184" s="252"/>
    </row>
    <row r="1185" spans="1:4" x14ac:dyDescent="0.35">
      <c r="A1185" s="252" t="s">
        <v>2766</v>
      </c>
      <c r="B1185" s="252"/>
      <c r="C1185" s="252"/>
      <c r="D1185" s="252"/>
    </row>
    <row r="1186" spans="1:4" x14ac:dyDescent="0.35">
      <c r="A1186" s="252" t="s">
        <v>2767</v>
      </c>
      <c r="B1186" s="252"/>
      <c r="C1186" s="252"/>
      <c r="D1186" s="252"/>
    </row>
    <row r="1187" spans="1:4" x14ac:dyDescent="0.35">
      <c r="A1187" s="252" t="s">
        <v>2768</v>
      </c>
      <c r="B1187" s="252"/>
      <c r="C1187" s="252"/>
      <c r="D1187" s="252"/>
    </row>
    <row r="1188" spans="1:4" x14ac:dyDescent="0.35">
      <c r="A1188" s="252" t="s">
        <v>2769</v>
      </c>
      <c r="B1188" s="252"/>
      <c r="C1188" s="252"/>
      <c r="D1188" s="252"/>
    </row>
    <row r="1189" spans="1:4" x14ac:dyDescent="0.35">
      <c r="A1189" s="252" t="s">
        <v>2770</v>
      </c>
      <c r="B1189" s="252"/>
      <c r="C1189" s="252"/>
      <c r="D1189" s="252"/>
    </row>
    <row r="1190" spans="1:4" x14ac:dyDescent="0.35">
      <c r="A1190" s="252" t="s">
        <v>2771</v>
      </c>
      <c r="B1190" s="252" t="s">
        <v>3287</v>
      </c>
      <c r="C1190" s="252"/>
      <c r="D1190" s="252" t="s">
        <v>3288</v>
      </c>
    </row>
    <row r="1191" spans="1:4" x14ac:dyDescent="0.35">
      <c r="A1191" s="252" t="s">
        <v>2772</v>
      </c>
      <c r="B1191" s="252" t="s">
        <v>3293</v>
      </c>
      <c r="C1191" s="252"/>
      <c r="D1191" s="252" t="s">
        <v>3292</v>
      </c>
    </row>
    <row r="1192" spans="1:4" x14ac:dyDescent="0.35">
      <c r="A1192" s="252" t="s">
        <v>2773</v>
      </c>
      <c r="B1192" s="252"/>
      <c r="C1192" s="252"/>
      <c r="D1192" s="252"/>
    </row>
    <row r="1193" spans="1:4" x14ac:dyDescent="0.35">
      <c r="A1193" s="252" t="s">
        <v>2774</v>
      </c>
      <c r="B1193" s="252"/>
      <c r="C1193" s="252"/>
      <c r="D1193" s="252"/>
    </row>
    <row r="1194" spans="1:4" x14ac:dyDescent="0.35">
      <c r="A1194" s="252" t="s">
        <v>2775</v>
      </c>
      <c r="B1194" s="252"/>
      <c r="C1194" s="252"/>
      <c r="D1194" s="252"/>
    </row>
    <row r="1195" spans="1:4" x14ac:dyDescent="0.35">
      <c r="A1195" s="252" t="s">
        <v>2776</v>
      </c>
      <c r="B1195" s="252"/>
      <c r="C1195" s="252"/>
      <c r="D1195" s="252"/>
    </row>
    <row r="1196" spans="1:4" x14ac:dyDescent="0.35">
      <c r="A1196" s="252" t="s">
        <v>2777</v>
      </c>
      <c r="B1196" s="252"/>
      <c r="C1196" s="252"/>
      <c r="D1196" s="252"/>
    </row>
    <row r="1197" spans="1:4" x14ac:dyDescent="0.35">
      <c r="A1197" s="252" t="s">
        <v>2778</v>
      </c>
      <c r="B1197" s="252"/>
      <c r="C1197" s="252"/>
      <c r="D1197" s="252"/>
    </row>
    <row r="1198" spans="1:4" x14ac:dyDescent="0.35">
      <c r="A1198" s="252" t="s">
        <v>2779</v>
      </c>
      <c r="B1198" s="252"/>
      <c r="C1198" s="252"/>
      <c r="D1198" s="252"/>
    </row>
    <row r="1199" spans="1:4" x14ac:dyDescent="0.35">
      <c r="A1199" s="252" t="s">
        <v>2780</v>
      </c>
      <c r="B1199" s="252"/>
      <c r="C1199" s="252"/>
      <c r="D1199" s="252"/>
    </row>
    <row r="1200" spans="1:4" x14ac:dyDescent="0.35">
      <c r="A1200" s="252" t="s">
        <v>2781</v>
      </c>
      <c r="B1200" s="252"/>
      <c r="C1200" s="252"/>
      <c r="D1200" s="252"/>
    </row>
    <row r="1201" spans="1:4" x14ac:dyDescent="0.35">
      <c r="A1201" s="252" t="s">
        <v>2782</v>
      </c>
      <c r="B1201" s="252"/>
      <c r="C1201" s="252"/>
      <c r="D1201" s="252"/>
    </row>
    <row r="1202" spans="1:4" x14ac:dyDescent="0.35">
      <c r="A1202" s="252" t="s">
        <v>2783</v>
      </c>
      <c r="B1202" s="252"/>
      <c r="C1202" s="252"/>
      <c r="D1202" s="252"/>
    </row>
    <row r="1203" spans="1:4" x14ac:dyDescent="0.35">
      <c r="A1203" s="252" t="s">
        <v>2784</v>
      </c>
      <c r="B1203" s="252"/>
      <c r="C1203" s="252"/>
      <c r="D1203" s="252"/>
    </row>
    <row r="1204" spans="1:4" x14ac:dyDescent="0.35">
      <c r="A1204" s="252" t="s">
        <v>2785</v>
      </c>
      <c r="B1204" s="252"/>
      <c r="C1204" s="252"/>
      <c r="D1204" s="252"/>
    </row>
    <row r="1205" spans="1:4" x14ac:dyDescent="0.35">
      <c r="A1205" s="252" t="s">
        <v>2786</v>
      </c>
      <c r="B1205" s="252"/>
      <c r="C1205" s="252"/>
      <c r="D1205" s="252"/>
    </row>
    <row r="1206" spans="1:4" x14ac:dyDescent="0.35">
      <c r="A1206" s="252" t="s">
        <v>2787</v>
      </c>
      <c r="B1206" s="252"/>
      <c r="C1206" s="252"/>
      <c r="D1206" s="252"/>
    </row>
    <row r="1207" spans="1:4" x14ac:dyDescent="0.35">
      <c r="A1207" s="252" t="s">
        <v>2788</v>
      </c>
      <c r="B1207" s="252"/>
      <c r="C1207" s="252"/>
      <c r="D1207" s="252"/>
    </row>
    <row r="1208" spans="1:4" x14ac:dyDescent="0.35">
      <c r="A1208" s="252" t="s">
        <v>2789</v>
      </c>
      <c r="B1208" s="252"/>
      <c r="C1208" s="252"/>
      <c r="D1208" s="252"/>
    </row>
    <row r="1209" spans="1:4" x14ac:dyDescent="0.35">
      <c r="A1209" s="252" t="s">
        <v>2790</v>
      </c>
      <c r="B1209" s="252"/>
      <c r="C1209" s="252"/>
      <c r="D1209" s="252"/>
    </row>
    <row r="1210" spans="1:4" x14ac:dyDescent="0.35">
      <c r="A1210" s="252" t="s">
        <v>2791</v>
      </c>
      <c r="B1210" s="252" t="s">
        <v>3280</v>
      </c>
      <c r="C1210" s="252"/>
      <c r="D1210" s="252" t="s">
        <v>3279</v>
      </c>
    </row>
    <row r="1211" spans="1:4" x14ac:dyDescent="0.35">
      <c r="A1211" s="252" t="s">
        <v>2792</v>
      </c>
      <c r="B1211" s="252"/>
      <c r="C1211" s="252"/>
      <c r="D1211" s="252"/>
    </row>
    <row r="1212" spans="1:4" x14ac:dyDescent="0.35">
      <c r="A1212" s="252" t="s">
        <v>2793</v>
      </c>
      <c r="B1212" s="252"/>
      <c r="C1212" s="252"/>
      <c r="D1212" s="252"/>
    </row>
    <row r="1213" spans="1:4" x14ac:dyDescent="0.35">
      <c r="A1213" s="252" t="s">
        <v>2794</v>
      </c>
      <c r="B1213" s="252"/>
      <c r="C1213" s="252"/>
      <c r="D1213" s="252"/>
    </row>
    <row r="1214" spans="1:4" x14ac:dyDescent="0.35">
      <c r="A1214" s="252" t="s">
        <v>2795</v>
      </c>
      <c r="B1214" s="252"/>
      <c r="C1214" s="252"/>
      <c r="D1214" s="252"/>
    </row>
    <row r="1215" spans="1:4" x14ac:dyDescent="0.35">
      <c r="A1215" s="252" t="s">
        <v>2796</v>
      </c>
      <c r="B1215" s="252"/>
      <c r="C1215" s="252"/>
      <c r="D1215" s="252"/>
    </row>
    <row r="1216" spans="1:4" x14ac:dyDescent="0.35">
      <c r="A1216" s="252" t="s">
        <v>2797</v>
      </c>
      <c r="B1216" s="252"/>
      <c r="C1216" s="252"/>
      <c r="D1216" s="252"/>
    </row>
    <row r="1217" spans="1:4" x14ac:dyDescent="0.35">
      <c r="A1217" s="252" t="s">
        <v>2798</v>
      </c>
      <c r="B1217" s="252"/>
      <c r="C1217" s="252"/>
      <c r="D1217" s="252"/>
    </row>
    <row r="1218" spans="1:4" x14ac:dyDescent="0.35">
      <c r="A1218" s="252" t="s">
        <v>2799</v>
      </c>
      <c r="B1218" s="252"/>
      <c r="C1218" s="252"/>
      <c r="D1218" s="252"/>
    </row>
    <row r="1219" spans="1:4" x14ac:dyDescent="0.35">
      <c r="A1219" s="252" t="s">
        <v>2800</v>
      </c>
      <c r="B1219" s="252"/>
      <c r="C1219" s="252"/>
      <c r="D1219" s="252"/>
    </row>
    <row r="1220" spans="1:4" x14ac:dyDescent="0.35">
      <c r="A1220" s="252" t="s">
        <v>2801</v>
      </c>
      <c r="B1220" s="252"/>
      <c r="C1220" s="252"/>
      <c r="D1220" s="252"/>
    </row>
    <row r="1221" spans="1:4" x14ac:dyDescent="0.35">
      <c r="A1221" s="252" t="s">
        <v>2802</v>
      </c>
      <c r="B1221" s="252"/>
      <c r="C1221" s="252"/>
      <c r="D1221" s="252"/>
    </row>
    <row r="1222" spans="1:4" x14ac:dyDescent="0.35">
      <c r="A1222" s="252" t="s">
        <v>2803</v>
      </c>
      <c r="B1222" s="252"/>
      <c r="C1222" s="252"/>
      <c r="D1222" s="252"/>
    </row>
    <row r="1223" spans="1:4" x14ac:dyDescent="0.35">
      <c r="A1223" s="252" t="s">
        <v>2804</v>
      </c>
      <c r="B1223" s="252"/>
      <c r="C1223" s="252"/>
      <c r="D1223" s="252"/>
    </row>
    <row r="1224" spans="1:4" x14ac:dyDescent="0.35">
      <c r="A1224" s="252" t="s">
        <v>2805</v>
      </c>
      <c r="B1224" s="252"/>
      <c r="C1224" s="252"/>
      <c r="D1224" s="252"/>
    </row>
    <row r="1225" spans="1:4" x14ac:dyDescent="0.35">
      <c r="A1225" s="252" t="s">
        <v>2806</v>
      </c>
      <c r="B1225" s="252"/>
      <c r="C1225" s="252"/>
      <c r="D1225" s="252"/>
    </row>
    <row r="1226" spans="1:4" x14ac:dyDescent="0.35">
      <c r="A1226" s="252" t="s">
        <v>2807</v>
      </c>
      <c r="B1226" s="252"/>
      <c r="C1226" s="252"/>
      <c r="D1226" s="252"/>
    </row>
    <row r="1227" spans="1:4" x14ac:dyDescent="0.35">
      <c r="A1227" s="252" t="s">
        <v>2808</v>
      </c>
      <c r="B1227" s="252"/>
      <c r="C1227" s="252"/>
      <c r="D1227" s="252"/>
    </row>
    <row r="1228" spans="1:4" x14ac:dyDescent="0.35">
      <c r="A1228" s="252" t="s">
        <v>2809</v>
      </c>
      <c r="B1228" s="252"/>
      <c r="C1228" s="252"/>
      <c r="D1228" s="252"/>
    </row>
    <row r="1229" spans="1:4" x14ac:dyDescent="0.35">
      <c r="A1229" s="252" t="s">
        <v>2810</v>
      </c>
      <c r="B1229" s="252"/>
      <c r="C1229" s="252"/>
      <c r="D1229" s="252"/>
    </row>
    <row r="1230" spans="1:4" x14ac:dyDescent="0.35">
      <c r="A1230" s="252" t="s">
        <v>2811</v>
      </c>
      <c r="B1230" s="252"/>
      <c r="C1230" s="252"/>
      <c r="D1230" s="252"/>
    </row>
    <row r="1231" spans="1:4" x14ac:dyDescent="0.35">
      <c r="A1231" s="252" t="s">
        <v>2812</v>
      </c>
      <c r="B1231" s="252"/>
      <c r="C1231" s="252"/>
      <c r="D1231" s="252"/>
    </row>
    <row r="1232" spans="1:4" x14ac:dyDescent="0.35">
      <c r="A1232" s="252" t="s">
        <v>2813</v>
      </c>
      <c r="B1232" s="252"/>
      <c r="C1232" s="252"/>
      <c r="D1232" s="252"/>
    </row>
    <row r="1233" spans="1:4" x14ac:dyDescent="0.35">
      <c r="A1233" s="252" t="s">
        <v>2814</v>
      </c>
      <c r="B1233" s="252"/>
      <c r="C1233" s="252"/>
      <c r="D1233" s="252"/>
    </row>
    <row r="1234" spans="1:4" x14ac:dyDescent="0.35">
      <c r="A1234" s="252" t="s">
        <v>2815</v>
      </c>
      <c r="B1234" s="252"/>
      <c r="C1234" s="252"/>
      <c r="D1234" s="252"/>
    </row>
    <row r="1235" spans="1:4" x14ac:dyDescent="0.35">
      <c r="A1235" s="252" t="s">
        <v>2816</v>
      </c>
      <c r="B1235" s="252"/>
      <c r="C1235" s="252"/>
      <c r="D1235" s="252"/>
    </row>
    <row r="1236" spans="1:4" x14ac:dyDescent="0.35">
      <c r="A1236" s="252" t="s">
        <v>2817</v>
      </c>
      <c r="B1236" s="252"/>
      <c r="C1236" s="252"/>
      <c r="D1236" s="252"/>
    </row>
    <row r="1237" spans="1:4" x14ac:dyDescent="0.35">
      <c r="A1237" s="252" t="s">
        <v>2818</v>
      </c>
      <c r="B1237" s="252"/>
      <c r="C1237" s="252"/>
      <c r="D1237" s="252"/>
    </row>
    <row r="1238" spans="1:4" x14ac:dyDescent="0.35">
      <c r="A1238" s="252" t="s">
        <v>2819</v>
      </c>
      <c r="B1238" s="252"/>
      <c r="C1238" s="252"/>
      <c r="D1238" s="252"/>
    </row>
    <row r="1239" spans="1:4" x14ac:dyDescent="0.35">
      <c r="A1239" s="252" t="s">
        <v>2820</v>
      </c>
      <c r="B1239" s="252"/>
      <c r="C1239" s="252"/>
      <c r="D1239" s="252"/>
    </row>
    <row r="1240" spans="1:4" x14ac:dyDescent="0.35">
      <c r="A1240" s="252" t="s">
        <v>2821</v>
      </c>
      <c r="B1240" s="252"/>
      <c r="C1240" s="252"/>
      <c r="D1240" s="252"/>
    </row>
    <row r="1241" spans="1:4" x14ac:dyDescent="0.35">
      <c r="A1241" s="252" t="s">
        <v>2822</v>
      </c>
      <c r="B1241" s="252"/>
      <c r="C1241" s="252"/>
      <c r="D1241" s="252"/>
    </row>
    <row r="1242" spans="1:4" x14ac:dyDescent="0.35">
      <c r="A1242" s="252" t="s">
        <v>2823</v>
      </c>
      <c r="B1242" s="252"/>
      <c r="C1242" s="252"/>
      <c r="D1242" s="252"/>
    </row>
    <row r="1243" spans="1:4" x14ac:dyDescent="0.35">
      <c r="A1243" s="252" t="s">
        <v>2824</v>
      </c>
      <c r="B1243" s="252"/>
      <c r="C1243" s="252"/>
      <c r="D1243" s="252"/>
    </row>
    <row r="1244" spans="1:4" x14ac:dyDescent="0.35">
      <c r="A1244" s="252" t="s">
        <v>2825</v>
      </c>
      <c r="B1244" s="252"/>
      <c r="C1244" s="252"/>
      <c r="D1244" s="252"/>
    </row>
    <row r="1245" spans="1:4" x14ac:dyDescent="0.35">
      <c r="A1245" s="252" t="s">
        <v>2826</v>
      </c>
      <c r="B1245" s="252"/>
      <c r="C1245" s="252"/>
      <c r="D1245" s="252"/>
    </row>
    <row r="1246" spans="1:4" x14ac:dyDescent="0.35">
      <c r="A1246" s="252" t="s">
        <v>2827</v>
      </c>
      <c r="B1246" s="252"/>
      <c r="C1246" s="252"/>
      <c r="D1246" s="252"/>
    </row>
    <row r="1247" spans="1:4" x14ac:dyDescent="0.35">
      <c r="A1247" s="252" t="s">
        <v>2828</v>
      </c>
      <c r="B1247" s="252"/>
      <c r="C1247" s="252"/>
      <c r="D1247" s="252"/>
    </row>
    <row r="1248" spans="1:4" x14ac:dyDescent="0.35">
      <c r="A1248" s="252" t="s">
        <v>2829</v>
      </c>
      <c r="B1248" s="252"/>
      <c r="C1248" s="252"/>
      <c r="D1248" s="252"/>
    </row>
    <row r="1249" spans="1:4" x14ac:dyDescent="0.35">
      <c r="A1249" s="252" t="s">
        <v>2830</v>
      </c>
      <c r="B1249" s="252"/>
      <c r="C1249" s="252"/>
      <c r="D1249" s="252"/>
    </row>
    <row r="1250" spans="1:4" x14ac:dyDescent="0.35">
      <c r="A1250" s="252" t="s">
        <v>2831</v>
      </c>
      <c r="B1250" s="252"/>
      <c r="C1250" s="252"/>
      <c r="D1250" s="252"/>
    </row>
    <row r="1251" spans="1:4" x14ac:dyDescent="0.35">
      <c r="A1251" s="252" t="s">
        <v>2832</v>
      </c>
      <c r="B1251" s="252"/>
      <c r="C1251" s="252"/>
      <c r="D1251" s="252"/>
    </row>
    <row r="1252" spans="1:4" x14ac:dyDescent="0.35">
      <c r="A1252" s="252" t="s">
        <v>2833</v>
      </c>
      <c r="B1252" s="252"/>
      <c r="C1252" s="252"/>
      <c r="D1252" s="252"/>
    </row>
    <row r="1253" spans="1:4" x14ac:dyDescent="0.35">
      <c r="A1253" s="252" t="s">
        <v>2834</v>
      </c>
      <c r="B1253" s="252"/>
      <c r="C1253" s="252"/>
      <c r="D1253" s="252"/>
    </row>
    <row r="1254" spans="1:4" x14ac:dyDescent="0.35">
      <c r="A1254" s="252" t="s">
        <v>2835</v>
      </c>
      <c r="B1254" s="252"/>
      <c r="C1254" s="252"/>
      <c r="D1254" s="252"/>
    </row>
    <row r="1255" spans="1:4" x14ac:dyDescent="0.35">
      <c r="A1255" s="252" t="s">
        <v>2836</v>
      </c>
      <c r="B1255" s="252"/>
      <c r="C1255" s="252"/>
      <c r="D1255" s="252"/>
    </row>
    <row r="1256" spans="1:4" x14ac:dyDescent="0.35">
      <c r="A1256" s="252" t="s">
        <v>2837</v>
      </c>
      <c r="B1256" s="252"/>
      <c r="C1256" s="252"/>
      <c r="D1256" s="252"/>
    </row>
    <row r="1257" spans="1:4" x14ac:dyDescent="0.35">
      <c r="A1257" s="252" t="s">
        <v>2838</v>
      </c>
      <c r="B1257" s="252"/>
      <c r="C1257" s="252"/>
      <c r="D1257" s="252"/>
    </row>
    <row r="1258" spans="1:4" x14ac:dyDescent="0.35">
      <c r="A1258" s="252" t="s">
        <v>2839</v>
      </c>
      <c r="B1258" s="252"/>
      <c r="C1258" s="252"/>
      <c r="D1258" s="252"/>
    </row>
    <row r="1259" spans="1:4" x14ac:dyDescent="0.35">
      <c r="A1259" s="252" t="s">
        <v>2840</v>
      </c>
      <c r="B1259" s="252"/>
      <c r="C1259" s="252"/>
      <c r="D1259" s="252"/>
    </row>
    <row r="1260" spans="1:4" x14ac:dyDescent="0.35">
      <c r="A1260" s="252" t="s">
        <v>2841</v>
      </c>
      <c r="B1260" s="252"/>
      <c r="C1260" s="252"/>
      <c r="D1260" s="252"/>
    </row>
    <row r="1261" spans="1:4" x14ac:dyDescent="0.35">
      <c r="A1261" s="252" t="s">
        <v>2842</v>
      </c>
      <c r="B1261" s="252"/>
      <c r="C1261" s="252"/>
      <c r="D1261" s="252"/>
    </row>
    <row r="1262" spans="1:4" x14ac:dyDescent="0.35">
      <c r="A1262" s="252" t="s">
        <v>2843</v>
      </c>
      <c r="B1262" s="252"/>
      <c r="C1262" s="252"/>
      <c r="D1262" s="252"/>
    </row>
    <row r="1263" spans="1:4" x14ac:dyDescent="0.35">
      <c r="A1263" s="252" t="s">
        <v>2844</v>
      </c>
      <c r="B1263" s="252"/>
      <c r="C1263" s="252"/>
      <c r="D1263" s="252"/>
    </row>
    <row r="1264" spans="1:4" x14ac:dyDescent="0.35">
      <c r="A1264" s="252" t="s">
        <v>2845</v>
      </c>
      <c r="B1264" s="252"/>
      <c r="C1264" s="252"/>
      <c r="D1264" s="252"/>
    </row>
    <row r="1265" spans="1:4" x14ac:dyDescent="0.35">
      <c r="A1265" s="252" t="s">
        <v>2846</v>
      </c>
      <c r="B1265" s="252"/>
      <c r="C1265" s="252"/>
      <c r="D1265" s="252"/>
    </row>
    <row r="1266" spans="1:4" x14ac:dyDescent="0.35">
      <c r="A1266" s="252" t="s">
        <v>2847</v>
      </c>
      <c r="B1266" s="252"/>
      <c r="C1266" s="252"/>
      <c r="D1266" s="252"/>
    </row>
    <row r="1267" spans="1:4" x14ac:dyDescent="0.35">
      <c r="A1267" s="252" t="s">
        <v>2848</v>
      </c>
      <c r="B1267" s="252"/>
      <c r="C1267" s="252"/>
      <c r="D1267" s="252"/>
    </row>
    <row r="1268" spans="1:4" x14ac:dyDescent="0.35">
      <c r="A1268" s="252" t="s">
        <v>2849</v>
      </c>
      <c r="B1268" s="252"/>
      <c r="C1268" s="252"/>
      <c r="D1268" s="252"/>
    </row>
    <row r="1269" spans="1:4" x14ac:dyDescent="0.35">
      <c r="A1269" s="252" t="s">
        <v>2850</v>
      </c>
      <c r="B1269" s="252"/>
      <c r="C1269" s="252"/>
      <c r="D1269" s="252"/>
    </row>
    <row r="1270" spans="1:4" x14ac:dyDescent="0.35">
      <c r="A1270" s="252" t="s">
        <v>2851</v>
      </c>
      <c r="B1270" s="252"/>
      <c r="C1270" s="252"/>
      <c r="D1270" s="252"/>
    </row>
    <row r="1271" spans="1:4" x14ac:dyDescent="0.35">
      <c r="A1271" s="252" t="s">
        <v>2852</v>
      </c>
      <c r="B1271" s="252"/>
      <c r="C1271" s="252"/>
      <c r="D1271" s="252"/>
    </row>
    <row r="1272" spans="1:4" x14ac:dyDescent="0.35">
      <c r="A1272" s="252" t="s">
        <v>2853</v>
      </c>
      <c r="B1272" s="252"/>
      <c r="C1272" s="252"/>
      <c r="D1272" s="252"/>
    </row>
    <row r="1273" spans="1:4" x14ac:dyDescent="0.35">
      <c r="A1273" s="252" t="s">
        <v>2854</v>
      </c>
      <c r="B1273" s="252"/>
      <c r="C1273" s="252"/>
      <c r="D1273" s="252"/>
    </row>
    <row r="1274" spans="1:4" x14ac:dyDescent="0.35">
      <c r="A1274" s="252" t="s">
        <v>2855</v>
      </c>
      <c r="B1274" s="252"/>
      <c r="C1274" s="252"/>
      <c r="D1274" s="252"/>
    </row>
    <row r="1275" spans="1:4" x14ac:dyDescent="0.35">
      <c r="A1275" s="252" t="s">
        <v>2856</v>
      </c>
      <c r="B1275" s="252"/>
      <c r="C1275" s="252"/>
      <c r="D1275" s="252"/>
    </row>
    <row r="1276" spans="1:4" x14ac:dyDescent="0.35">
      <c r="A1276" s="252" t="s">
        <v>2857</v>
      </c>
      <c r="B1276" s="252"/>
      <c r="C1276" s="252"/>
      <c r="D1276" s="252"/>
    </row>
    <row r="1277" spans="1:4" x14ac:dyDescent="0.35">
      <c r="A1277" s="252" t="s">
        <v>2858</v>
      </c>
      <c r="B1277" s="252"/>
      <c r="C1277" s="252"/>
      <c r="D1277" s="252"/>
    </row>
    <row r="1278" spans="1:4" x14ac:dyDescent="0.35">
      <c r="A1278" s="252" t="s">
        <v>2859</v>
      </c>
      <c r="B1278" s="252"/>
      <c r="C1278" s="252"/>
      <c r="D1278" s="252"/>
    </row>
    <row r="1279" spans="1:4" x14ac:dyDescent="0.35">
      <c r="A1279" s="252" t="s">
        <v>2860</v>
      </c>
      <c r="B1279" s="252"/>
      <c r="C1279" s="252"/>
      <c r="D1279" s="252"/>
    </row>
    <row r="1280" spans="1:4" x14ac:dyDescent="0.35">
      <c r="A1280" s="252" t="s">
        <v>2861</v>
      </c>
      <c r="B1280" s="252"/>
      <c r="C1280" s="252"/>
      <c r="D1280" s="252"/>
    </row>
    <row r="1281" spans="1:4" x14ac:dyDescent="0.35">
      <c r="A1281" s="252" t="s">
        <v>2862</v>
      </c>
      <c r="B1281" s="252"/>
      <c r="C1281" s="252"/>
      <c r="D1281" s="252"/>
    </row>
    <row r="1282" spans="1:4" x14ac:dyDescent="0.35">
      <c r="A1282" s="252" t="s">
        <v>2863</v>
      </c>
      <c r="B1282" s="252"/>
      <c r="C1282" s="252"/>
      <c r="D1282" s="252"/>
    </row>
    <row r="1283" spans="1:4" x14ac:dyDescent="0.35">
      <c r="A1283" s="252" t="s">
        <v>2864</v>
      </c>
      <c r="B1283" s="252"/>
      <c r="C1283" s="252"/>
      <c r="D1283" s="252"/>
    </row>
    <row r="1284" spans="1:4" x14ac:dyDescent="0.35">
      <c r="A1284" s="252" t="s">
        <v>2865</v>
      </c>
      <c r="B1284" s="252"/>
      <c r="C1284" s="252"/>
      <c r="D1284" s="252"/>
    </row>
    <row r="1285" spans="1:4" x14ac:dyDescent="0.35">
      <c r="A1285" s="252" t="s">
        <v>2866</v>
      </c>
      <c r="B1285" s="252"/>
      <c r="C1285" s="252"/>
      <c r="D1285" s="252"/>
    </row>
    <row r="1286" spans="1:4" x14ac:dyDescent="0.35">
      <c r="A1286" s="252" t="s">
        <v>2867</v>
      </c>
      <c r="B1286" s="252"/>
      <c r="C1286" s="252"/>
      <c r="D1286" s="252"/>
    </row>
    <row r="1287" spans="1:4" x14ac:dyDescent="0.35">
      <c r="A1287" s="252" t="s">
        <v>2868</v>
      </c>
      <c r="B1287" s="252"/>
      <c r="C1287" s="252"/>
      <c r="D1287" s="252"/>
    </row>
    <row r="1288" spans="1:4" x14ac:dyDescent="0.35">
      <c r="A1288" s="252" t="s">
        <v>2869</v>
      </c>
      <c r="B1288" s="252"/>
      <c r="C1288" s="252"/>
      <c r="D1288" s="252"/>
    </row>
    <row r="1289" spans="1:4" x14ac:dyDescent="0.35">
      <c r="A1289" s="252" t="s">
        <v>2870</v>
      </c>
      <c r="B1289" s="252"/>
      <c r="C1289" s="252"/>
      <c r="D1289" s="252"/>
    </row>
    <row r="1290" spans="1:4" x14ac:dyDescent="0.35">
      <c r="A1290" s="252" t="s">
        <v>2871</v>
      </c>
      <c r="B1290" s="252"/>
      <c r="C1290" s="252"/>
      <c r="D1290" s="252"/>
    </row>
    <row r="1291" spans="1:4" x14ac:dyDescent="0.35">
      <c r="A1291" s="252" t="s">
        <v>2872</v>
      </c>
      <c r="B1291" s="252"/>
      <c r="C1291" s="252"/>
      <c r="D1291" s="252"/>
    </row>
    <row r="1292" spans="1:4" x14ac:dyDescent="0.35">
      <c r="A1292" s="252" t="s">
        <v>2873</v>
      </c>
      <c r="B1292" s="252"/>
      <c r="C1292" s="252"/>
      <c r="D1292" s="252"/>
    </row>
    <row r="1293" spans="1:4" x14ac:dyDescent="0.35">
      <c r="A1293" s="252" t="s">
        <v>2874</v>
      </c>
      <c r="B1293" s="252"/>
      <c r="C1293" s="252"/>
      <c r="D1293" s="252"/>
    </row>
    <row r="1294" spans="1:4" x14ac:dyDescent="0.35">
      <c r="A1294" s="252" t="s">
        <v>2875</v>
      </c>
      <c r="B1294" s="252"/>
      <c r="C1294" s="252"/>
      <c r="D1294" s="252"/>
    </row>
    <row r="1295" spans="1:4" x14ac:dyDescent="0.35">
      <c r="A1295" s="252" t="s">
        <v>2876</v>
      </c>
      <c r="B1295" s="252"/>
      <c r="C1295" s="252"/>
      <c r="D1295" s="252"/>
    </row>
    <row r="1296" spans="1:4" x14ac:dyDescent="0.35">
      <c r="A1296" s="252" t="s">
        <v>2877</v>
      </c>
      <c r="B1296" s="252"/>
      <c r="C1296" s="252"/>
      <c r="D1296" s="252"/>
    </row>
    <row r="1297" spans="1:4" x14ac:dyDescent="0.35">
      <c r="A1297" s="252" t="s">
        <v>2878</v>
      </c>
      <c r="B1297" s="252"/>
      <c r="C1297" s="252"/>
      <c r="D1297" s="252"/>
    </row>
    <row r="1298" spans="1:4" x14ac:dyDescent="0.35">
      <c r="A1298" s="252" t="s">
        <v>2879</v>
      </c>
      <c r="B1298" s="252"/>
      <c r="C1298" s="252"/>
      <c r="D1298" s="252"/>
    </row>
    <row r="1299" spans="1:4" x14ac:dyDescent="0.35">
      <c r="A1299" s="252" t="s">
        <v>2880</v>
      </c>
      <c r="B1299" s="252"/>
      <c r="C1299" s="252"/>
      <c r="D1299" s="252"/>
    </row>
    <row r="1300" spans="1:4" x14ac:dyDescent="0.35">
      <c r="A1300" s="252" t="s">
        <v>2881</v>
      </c>
      <c r="B1300" s="252"/>
      <c r="C1300" s="252"/>
      <c r="D1300" s="252"/>
    </row>
    <row r="1301" spans="1:4" x14ac:dyDescent="0.35">
      <c r="A1301" s="252" t="s">
        <v>2882</v>
      </c>
      <c r="B1301" s="252"/>
      <c r="C1301" s="252"/>
      <c r="D1301" s="252"/>
    </row>
    <row r="1302" spans="1:4" x14ac:dyDescent="0.35">
      <c r="A1302" s="252" t="s">
        <v>2883</v>
      </c>
      <c r="B1302" s="252"/>
      <c r="C1302" s="252"/>
      <c r="D1302" s="252"/>
    </row>
    <row r="1303" spans="1:4" x14ac:dyDescent="0.35">
      <c r="A1303" s="252" t="s">
        <v>2884</v>
      </c>
      <c r="B1303" s="252"/>
      <c r="C1303" s="252"/>
      <c r="D1303" s="252"/>
    </row>
    <row r="1304" spans="1:4" x14ac:dyDescent="0.35">
      <c r="A1304" s="252" t="s">
        <v>2885</v>
      </c>
      <c r="B1304" s="252" t="s">
        <v>3270</v>
      </c>
      <c r="C1304" s="252"/>
      <c r="D1304" s="252" t="s">
        <v>3273</v>
      </c>
    </row>
    <row r="1305" spans="1:4" x14ac:dyDescent="0.35">
      <c r="A1305" s="252" t="s">
        <v>2886</v>
      </c>
      <c r="B1305" s="252" t="s">
        <v>3270</v>
      </c>
      <c r="C1305" s="252"/>
      <c r="D1305" s="252" t="s">
        <v>3273</v>
      </c>
    </row>
    <row r="1306" spans="1:4" x14ac:dyDescent="0.35">
      <c r="A1306" s="252" t="s">
        <v>2887</v>
      </c>
      <c r="B1306" s="252"/>
      <c r="C1306" s="252"/>
      <c r="D1306" s="252"/>
    </row>
    <row r="1307" spans="1:4" x14ac:dyDescent="0.35">
      <c r="A1307" s="252" t="s">
        <v>2888</v>
      </c>
      <c r="B1307" s="252" t="s">
        <v>3388</v>
      </c>
      <c r="C1307" s="252"/>
      <c r="D1307" s="252" t="s">
        <v>3387</v>
      </c>
    </row>
    <row r="1308" spans="1:4" x14ac:dyDescent="0.35">
      <c r="A1308" s="252" t="s">
        <v>2889</v>
      </c>
      <c r="B1308" s="252"/>
      <c r="C1308" s="252"/>
      <c r="D1308" s="252"/>
    </row>
    <row r="1309" spans="1:4" x14ac:dyDescent="0.35">
      <c r="A1309" s="252" t="s">
        <v>2890</v>
      </c>
      <c r="B1309" s="252"/>
      <c r="C1309" s="252"/>
      <c r="D1309" s="252"/>
    </row>
    <row r="1310" spans="1:4" x14ac:dyDescent="0.35">
      <c r="A1310" s="252" t="s">
        <v>3271</v>
      </c>
      <c r="B1310" s="252"/>
      <c r="C1310" s="252"/>
      <c r="D1310" s="252"/>
    </row>
    <row r="1311" spans="1:4" x14ac:dyDescent="0.35">
      <c r="A1311" s="252" t="s">
        <v>2891</v>
      </c>
      <c r="B1311" s="252"/>
      <c r="C1311" s="252"/>
      <c r="D1311" s="252"/>
    </row>
    <row r="1312" spans="1:4" x14ac:dyDescent="0.35">
      <c r="A1312" s="252" t="s">
        <v>2892</v>
      </c>
      <c r="B1312" s="252"/>
      <c r="C1312" s="252"/>
      <c r="D1312" s="252"/>
    </row>
    <row r="1313" spans="1:4" x14ac:dyDescent="0.35">
      <c r="A1313" s="252" t="s">
        <v>2893</v>
      </c>
      <c r="B1313" s="252"/>
      <c r="C1313" s="252"/>
      <c r="D1313" s="252"/>
    </row>
    <row r="1314" spans="1:4" x14ac:dyDescent="0.35">
      <c r="A1314" s="252" t="s">
        <v>2894</v>
      </c>
      <c r="B1314" s="252"/>
      <c r="C1314" s="252"/>
      <c r="D1314" s="252"/>
    </row>
    <row r="1315" spans="1:4" x14ac:dyDescent="0.35">
      <c r="A1315" s="252" t="s">
        <v>2895</v>
      </c>
      <c r="B1315" s="252"/>
      <c r="C1315" s="252"/>
      <c r="D1315" s="252"/>
    </row>
    <row r="1316" spans="1:4" x14ac:dyDescent="0.35">
      <c r="A1316" s="252" t="s">
        <v>2896</v>
      </c>
      <c r="B1316" s="252"/>
      <c r="C1316" s="252"/>
      <c r="D1316" s="252"/>
    </row>
    <row r="1317" spans="1:4" x14ac:dyDescent="0.35">
      <c r="A1317" s="252" t="s">
        <v>2897</v>
      </c>
      <c r="B1317" s="252"/>
      <c r="C1317" s="252"/>
      <c r="D1317" s="252"/>
    </row>
    <row r="1318" spans="1:4" x14ac:dyDescent="0.35">
      <c r="A1318" s="252" t="s">
        <v>2898</v>
      </c>
      <c r="B1318" s="252"/>
      <c r="C1318" s="252"/>
      <c r="D1318" s="252"/>
    </row>
    <row r="1319" spans="1:4" x14ac:dyDescent="0.35">
      <c r="A1319" s="252" t="s">
        <v>2899</v>
      </c>
      <c r="B1319" s="252"/>
      <c r="C1319" s="252"/>
      <c r="D1319" s="252"/>
    </row>
    <row r="1320" spans="1:4" x14ac:dyDescent="0.35">
      <c r="A1320" s="252" t="s">
        <v>2900</v>
      </c>
      <c r="B1320" s="252"/>
      <c r="C1320" s="252"/>
      <c r="D1320" s="252"/>
    </row>
    <row r="1321" spans="1:4" x14ac:dyDescent="0.35">
      <c r="A1321" s="252" t="s">
        <v>2901</v>
      </c>
      <c r="B1321" s="252"/>
      <c r="C1321" s="252"/>
      <c r="D1321" s="252"/>
    </row>
    <row r="1322" spans="1:4" x14ac:dyDescent="0.35">
      <c r="A1322" s="252" t="s">
        <v>2902</v>
      </c>
      <c r="B1322" s="252"/>
      <c r="C1322" s="252"/>
      <c r="D1322" s="252"/>
    </row>
    <row r="1323" spans="1:4" x14ac:dyDescent="0.35">
      <c r="A1323" s="252" t="s">
        <v>2903</v>
      </c>
      <c r="B1323" s="252"/>
      <c r="C1323" s="252"/>
      <c r="D1323" s="252"/>
    </row>
    <row r="1324" spans="1:4" x14ac:dyDescent="0.35">
      <c r="A1324" s="252" t="s">
        <v>2904</v>
      </c>
      <c r="B1324" s="252"/>
      <c r="C1324" s="252"/>
      <c r="D1324" s="252"/>
    </row>
    <row r="1325" spans="1:4" x14ac:dyDescent="0.35">
      <c r="A1325" s="252" t="s">
        <v>2905</v>
      </c>
      <c r="B1325" s="252"/>
      <c r="C1325" s="252"/>
      <c r="D1325" s="252"/>
    </row>
    <row r="1326" spans="1:4" x14ac:dyDescent="0.35">
      <c r="A1326" s="252" t="s">
        <v>2906</v>
      </c>
      <c r="B1326" s="252"/>
      <c r="C1326" s="252"/>
      <c r="D1326" s="252"/>
    </row>
    <row r="1327" spans="1:4" x14ac:dyDescent="0.35">
      <c r="A1327" s="252" t="s">
        <v>2907</v>
      </c>
      <c r="B1327" s="252"/>
      <c r="C1327" s="252"/>
      <c r="D1327" s="252"/>
    </row>
    <row r="1328" spans="1:4" x14ac:dyDescent="0.35">
      <c r="A1328" s="252" t="s">
        <v>2908</v>
      </c>
      <c r="B1328" s="252"/>
      <c r="C1328" s="252"/>
      <c r="D1328" s="252"/>
    </row>
    <row r="1329" spans="1:4" x14ac:dyDescent="0.35">
      <c r="A1329" s="252" t="s">
        <v>2909</v>
      </c>
      <c r="B1329" s="252"/>
      <c r="C1329" s="252"/>
      <c r="D1329" s="252"/>
    </row>
    <row r="1330" spans="1:4" x14ac:dyDescent="0.35">
      <c r="A1330" s="252" t="s">
        <v>2910</v>
      </c>
      <c r="B1330" s="252"/>
      <c r="C1330" s="252"/>
      <c r="D1330" s="252"/>
    </row>
    <row r="1331" spans="1:4" x14ac:dyDescent="0.35">
      <c r="A1331" s="252" t="s">
        <v>2911</v>
      </c>
      <c r="B1331" s="252"/>
      <c r="C1331" s="252"/>
      <c r="D1331" s="252"/>
    </row>
    <row r="1332" spans="1:4" x14ac:dyDescent="0.35">
      <c r="A1332" s="252" t="s">
        <v>2912</v>
      </c>
      <c r="B1332" s="252"/>
      <c r="C1332" s="252"/>
      <c r="D1332" s="252"/>
    </row>
    <row r="1333" spans="1:4" x14ac:dyDescent="0.35">
      <c r="A1333" s="252" t="s">
        <v>2913</v>
      </c>
      <c r="B1333" s="252"/>
      <c r="C1333" s="252"/>
      <c r="D1333" s="252"/>
    </row>
    <row r="1334" spans="1:4" x14ac:dyDescent="0.35">
      <c r="A1334" s="252" t="s">
        <v>2914</v>
      </c>
      <c r="B1334" s="252"/>
      <c r="C1334" s="252"/>
      <c r="D1334" s="252"/>
    </row>
    <row r="1335" spans="1:4" x14ac:dyDescent="0.35">
      <c r="A1335" s="252" t="s">
        <v>2915</v>
      </c>
      <c r="B1335" s="252"/>
      <c r="C1335" s="252"/>
      <c r="D1335" s="252"/>
    </row>
    <row r="1336" spans="1:4" x14ac:dyDescent="0.35">
      <c r="A1336" s="252" t="s">
        <v>2916</v>
      </c>
      <c r="B1336" s="252"/>
      <c r="C1336" s="252"/>
      <c r="D1336" s="252"/>
    </row>
    <row r="1337" spans="1:4" x14ac:dyDescent="0.35">
      <c r="A1337" s="252" t="s">
        <v>2917</v>
      </c>
      <c r="B1337" s="252"/>
      <c r="C1337" s="252"/>
      <c r="D1337" s="252"/>
    </row>
    <row r="1338" spans="1:4" x14ac:dyDescent="0.35">
      <c r="A1338" s="252" t="s">
        <v>2918</v>
      </c>
      <c r="B1338" s="252"/>
      <c r="C1338" s="252"/>
      <c r="D1338" s="252"/>
    </row>
    <row r="1339" spans="1:4" x14ac:dyDescent="0.35">
      <c r="A1339" s="252" t="s">
        <v>2919</v>
      </c>
      <c r="B1339" s="252"/>
      <c r="C1339" s="252"/>
      <c r="D1339" s="252"/>
    </row>
    <row r="1340" spans="1:4" x14ac:dyDescent="0.35">
      <c r="A1340" s="252" t="s">
        <v>2920</v>
      </c>
      <c r="B1340" s="252"/>
      <c r="C1340" s="252"/>
      <c r="D1340" s="252"/>
    </row>
    <row r="1341" spans="1:4" x14ac:dyDescent="0.35">
      <c r="A1341" s="252" t="s">
        <v>2921</v>
      </c>
      <c r="B1341" s="252"/>
      <c r="C1341" s="252"/>
      <c r="D1341" s="252"/>
    </row>
    <row r="1342" spans="1:4" x14ac:dyDescent="0.35">
      <c r="A1342" s="252" t="s">
        <v>2922</v>
      </c>
      <c r="B1342" s="252"/>
      <c r="C1342" s="252"/>
      <c r="D1342" s="252"/>
    </row>
    <row r="1343" spans="1:4" x14ac:dyDescent="0.35">
      <c r="A1343" s="252" t="s">
        <v>2923</v>
      </c>
      <c r="B1343" s="252" t="s">
        <v>3280</v>
      </c>
      <c r="C1343" s="252"/>
      <c r="D1343" s="252" t="s">
        <v>3279</v>
      </c>
    </row>
    <row r="1344" spans="1:4" x14ac:dyDescent="0.35">
      <c r="A1344" s="252" t="s">
        <v>2924</v>
      </c>
      <c r="B1344" s="252"/>
      <c r="C1344" s="252"/>
      <c r="D1344" s="252"/>
    </row>
    <row r="1345" spans="1:4" x14ac:dyDescent="0.35">
      <c r="A1345" s="252" t="s">
        <v>2925</v>
      </c>
      <c r="B1345" s="252" t="s">
        <v>3280</v>
      </c>
      <c r="C1345" s="252"/>
      <c r="D1345" s="252" t="s">
        <v>3279</v>
      </c>
    </row>
    <row r="1346" spans="1:4" x14ac:dyDescent="0.35">
      <c r="A1346" s="252" t="s">
        <v>2926</v>
      </c>
      <c r="B1346" s="252"/>
      <c r="C1346" s="252"/>
      <c r="D1346" s="252"/>
    </row>
    <row r="1347" spans="1:4" x14ac:dyDescent="0.35">
      <c r="A1347" s="252" t="s">
        <v>2927</v>
      </c>
      <c r="B1347" s="252" t="s">
        <v>3280</v>
      </c>
      <c r="C1347" s="252"/>
      <c r="D1347" s="252" t="s">
        <v>3279</v>
      </c>
    </row>
    <row r="1348" spans="1:4" x14ac:dyDescent="0.35">
      <c r="A1348" s="252" t="s">
        <v>2928</v>
      </c>
      <c r="B1348" s="252" t="s">
        <v>3280</v>
      </c>
      <c r="C1348" s="252"/>
      <c r="D1348" s="252" t="s">
        <v>3279</v>
      </c>
    </row>
    <row r="1349" spans="1:4" x14ac:dyDescent="0.35">
      <c r="A1349" s="252" t="s">
        <v>2929</v>
      </c>
      <c r="B1349" s="252"/>
      <c r="C1349" s="252"/>
      <c r="D1349" s="252"/>
    </row>
    <row r="1350" spans="1:4" x14ac:dyDescent="0.35">
      <c r="A1350" s="252" t="s">
        <v>2930</v>
      </c>
      <c r="B1350" s="252"/>
      <c r="C1350" s="252"/>
      <c r="D1350" s="252"/>
    </row>
    <row r="1351" spans="1:4" x14ac:dyDescent="0.35">
      <c r="A1351" s="252" t="s">
        <v>2931</v>
      </c>
      <c r="B1351" s="252"/>
      <c r="C1351" s="252"/>
      <c r="D1351" s="252"/>
    </row>
    <row r="1352" spans="1:4" x14ac:dyDescent="0.35">
      <c r="A1352" s="252" t="s">
        <v>2932</v>
      </c>
      <c r="B1352" s="252"/>
      <c r="C1352" s="252"/>
      <c r="D1352" s="252"/>
    </row>
    <row r="1353" spans="1:4" x14ac:dyDescent="0.35">
      <c r="A1353" s="252" t="s">
        <v>2933</v>
      </c>
      <c r="B1353" s="252"/>
      <c r="C1353" s="252"/>
      <c r="D1353" s="252"/>
    </row>
    <row r="1354" spans="1:4" x14ac:dyDescent="0.35">
      <c r="A1354" s="252" t="s">
        <v>2934</v>
      </c>
      <c r="B1354" s="252"/>
      <c r="C1354" s="252"/>
      <c r="D1354" s="252"/>
    </row>
    <row r="1355" spans="1:4" x14ac:dyDescent="0.35">
      <c r="A1355" s="252" t="s">
        <v>2935</v>
      </c>
      <c r="B1355" s="252"/>
      <c r="C1355" s="252"/>
      <c r="D1355" s="252"/>
    </row>
    <row r="1356" spans="1:4" x14ac:dyDescent="0.35">
      <c r="A1356" s="252" t="s">
        <v>2936</v>
      </c>
      <c r="B1356" s="252"/>
      <c r="C1356" s="252"/>
      <c r="D1356" s="252"/>
    </row>
    <row r="1357" spans="1:4" x14ac:dyDescent="0.35">
      <c r="A1357" s="252" t="s">
        <v>2937</v>
      </c>
      <c r="B1357" s="252"/>
      <c r="C1357" s="252"/>
      <c r="D1357" s="252"/>
    </row>
    <row r="1358" spans="1:4" x14ac:dyDescent="0.35">
      <c r="A1358" s="252" t="s">
        <v>2938</v>
      </c>
      <c r="B1358" s="252"/>
      <c r="C1358" s="252"/>
      <c r="D1358" s="252"/>
    </row>
    <row r="1359" spans="1:4" x14ac:dyDescent="0.35">
      <c r="A1359" s="252" t="s">
        <v>2939</v>
      </c>
      <c r="B1359" s="252"/>
      <c r="C1359" s="252"/>
      <c r="D1359" s="252"/>
    </row>
    <row r="1360" spans="1:4" x14ac:dyDescent="0.35">
      <c r="A1360" s="252" t="s">
        <v>2940</v>
      </c>
      <c r="B1360" s="252"/>
      <c r="C1360" s="252"/>
      <c r="D1360" s="252"/>
    </row>
    <row r="1361" spans="1:4" x14ac:dyDescent="0.35">
      <c r="A1361" s="252" t="s">
        <v>2941</v>
      </c>
      <c r="B1361" s="252"/>
      <c r="C1361" s="252"/>
      <c r="D1361" s="252"/>
    </row>
    <row r="1362" spans="1:4" x14ac:dyDescent="0.35">
      <c r="A1362" s="252" t="s">
        <v>2942</v>
      </c>
      <c r="B1362" s="252"/>
      <c r="C1362" s="252"/>
      <c r="D1362" s="252"/>
    </row>
    <row r="1363" spans="1:4" x14ac:dyDescent="0.35">
      <c r="A1363" s="252" t="s">
        <v>2943</v>
      </c>
      <c r="B1363" s="252"/>
      <c r="C1363" s="252"/>
      <c r="D1363" s="252"/>
    </row>
    <row r="1364" spans="1:4" x14ac:dyDescent="0.35">
      <c r="A1364" s="252" t="s">
        <v>2944</v>
      </c>
      <c r="B1364" s="252"/>
      <c r="C1364" s="252"/>
      <c r="D1364" s="252"/>
    </row>
    <row r="1365" spans="1:4" x14ac:dyDescent="0.35">
      <c r="A1365" s="252" t="s">
        <v>2945</v>
      </c>
      <c r="B1365" s="252"/>
      <c r="C1365" s="252"/>
      <c r="D1365" s="252"/>
    </row>
    <row r="1366" spans="1:4" x14ac:dyDescent="0.35">
      <c r="A1366" s="252" t="s">
        <v>2946</v>
      </c>
      <c r="B1366" s="252"/>
      <c r="C1366" s="252"/>
      <c r="D1366" s="252"/>
    </row>
    <row r="1367" spans="1:4" x14ac:dyDescent="0.35">
      <c r="A1367" s="252" t="s">
        <v>2947</v>
      </c>
      <c r="B1367" s="252"/>
      <c r="C1367" s="252"/>
      <c r="D1367" s="252"/>
    </row>
    <row r="1368" spans="1:4" x14ac:dyDescent="0.35">
      <c r="A1368" s="252" t="s">
        <v>2948</v>
      </c>
      <c r="B1368" s="252"/>
      <c r="C1368" s="252"/>
      <c r="D1368" s="252"/>
    </row>
    <row r="1369" spans="1:4" x14ac:dyDescent="0.35">
      <c r="A1369" s="252" t="s">
        <v>2949</v>
      </c>
      <c r="B1369" s="252"/>
      <c r="C1369" s="252"/>
      <c r="D1369" s="252"/>
    </row>
    <row r="1370" spans="1:4" x14ac:dyDescent="0.35">
      <c r="A1370" s="252" t="s">
        <v>2950</v>
      </c>
      <c r="B1370" s="252"/>
      <c r="C1370" s="252"/>
      <c r="D1370" s="252"/>
    </row>
    <row r="1371" spans="1:4" x14ac:dyDescent="0.35">
      <c r="A1371" s="252" t="s">
        <v>2951</v>
      </c>
      <c r="B1371" s="252"/>
      <c r="C1371" s="252"/>
      <c r="D1371" s="252"/>
    </row>
    <row r="1372" spans="1:4" x14ac:dyDescent="0.35">
      <c r="A1372" s="252" t="s">
        <v>2952</v>
      </c>
      <c r="B1372" s="252"/>
      <c r="C1372" s="252"/>
      <c r="D1372" s="252"/>
    </row>
    <row r="1373" spans="1:4" x14ac:dyDescent="0.35">
      <c r="A1373" s="252" t="s">
        <v>2953</v>
      </c>
      <c r="B1373" s="252"/>
      <c r="C1373" s="252"/>
      <c r="D1373" s="252"/>
    </row>
    <row r="1374" spans="1:4" x14ac:dyDescent="0.35">
      <c r="A1374" s="252" t="s">
        <v>2954</v>
      </c>
      <c r="B1374" s="252"/>
      <c r="C1374" s="252"/>
      <c r="D1374" s="252"/>
    </row>
    <row r="1375" spans="1:4" x14ac:dyDescent="0.35">
      <c r="A1375" s="252" t="s">
        <v>2955</v>
      </c>
      <c r="B1375" s="252"/>
      <c r="C1375" s="252"/>
      <c r="D1375" s="252"/>
    </row>
    <row r="1376" spans="1:4" x14ac:dyDescent="0.35">
      <c r="A1376" s="252" t="s">
        <v>2956</v>
      </c>
      <c r="B1376" s="252"/>
      <c r="C1376" s="252"/>
      <c r="D1376" s="252"/>
    </row>
    <row r="1377" spans="1:4" x14ac:dyDescent="0.35">
      <c r="A1377" s="252" t="s">
        <v>2957</v>
      </c>
      <c r="B1377" s="252"/>
      <c r="C1377" s="252"/>
      <c r="D1377" s="252"/>
    </row>
    <row r="1378" spans="1:4" x14ac:dyDescent="0.35">
      <c r="A1378" s="252" t="s">
        <v>2958</v>
      </c>
      <c r="B1378" s="252"/>
      <c r="C1378" s="252"/>
      <c r="D1378" s="252"/>
    </row>
    <row r="1379" spans="1:4" x14ac:dyDescent="0.35">
      <c r="A1379" s="252" t="s">
        <v>2959</v>
      </c>
      <c r="B1379" s="252"/>
      <c r="C1379" s="252"/>
      <c r="D1379" s="252"/>
    </row>
    <row r="1380" spans="1:4" x14ac:dyDescent="0.35">
      <c r="A1380" s="252" t="s">
        <v>2960</v>
      </c>
      <c r="B1380" s="252"/>
      <c r="C1380" s="252"/>
      <c r="D1380" s="252"/>
    </row>
    <row r="1381" spans="1:4" x14ac:dyDescent="0.35">
      <c r="A1381" s="252" t="s">
        <v>2961</v>
      </c>
      <c r="B1381" s="252"/>
      <c r="C1381" s="252"/>
      <c r="D1381" s="252"/>
    </row>
    <row r="1382" spans="1:4" x14ac:dyDescent="0.35">
      <c r="A1382" s="252" t="s">
        <v>2962</v>
      </c>
      <c r="B1382" s="252"/>
      <c r="C1382" s="252"/>
      <c r="D1382" s="252"/>
    </row>
    <row r="1383" spans="1:4" x14ac:dyDescent="0.35">
      <c r="A1383" s="252" t="s">
        <v>2963</v>
      </c>
      <c r="B1383" s="252"/>
      <c r="C1383" s="252"/>
      <c r="D1383" s="252"/>
    </row>
    <row r="1384" spans="1:4" x14ac:dyDescent="0.35">
      <c r="A1384" s="252" t="s">
        <v>2964</v>
      </c>
      <c r="B1384" s="252"/>
      <c r="C1384" s="252"/>
      <c r="D1384" s="252"/>
    </row>
    <row r="1385" spans="1:4" x14ac:dyDescent="0.35">
      <c r="A1385" s="252" t="s">
        <v>2965</v>
      </c>
      <c r="B1385" s="252"/>
      <c r="C1385" s="252"/>
      <c r="D1385" s="252"/>
    </row>
    <row r="1386" spans="1:4" x14ac:dyDescent="0.35">
      <c r="A1386" s="252" t="s">
        <v>2966</v>
      </c>
      <c r="B1386" s="252"/>
      <c r="C1386" s="252"/>
      <c r="D1386" s="252"/>
    </row>
    <row r="1387" spans="1:4" x14ac:dyDescent="0.35">
      <c r="A1387" s="252" t="s">
        <v>2967</v>
      </c>
      <c r="B1387" s="252"/>
      <c r="C1387" s="252"/>
      <c r="D1387" s="252"/>
    </row>
    <row r="1388" spans="1:4" x14ac:dyDescent="0.35">
      <c r="A1388" s="252" t="s">
        <v>2968</v>
      </c>
      <c r="B1388" s="252"/>
      <c r="C1388" s="252"/>
      <c r="D1388" s="252"/>
    </row>
    <row r="1389" spans="1:4" x14ac:dyDescent="0.35">
      <c r="A1389" s="252" t="s">
        <v>2969</v>
      </c>
      <c r="B1389" s="252"/>
      <c r="C1389" s="252"/>
      <c r="D1389" s="252"/>
    </row>
    <row r="1390" spans="1:4" x14ac:dyDescent="0.35">
      <c r="A1390" s="252" t="s">
        <v>2970</v>
      </c>
      <c r="B1390" s="252"/>
      <c r="C1390" s="252"/>
      <c r="D1390" s="252"/>
    </row>
    <row r="1391" spans="1:4" x14ac:dyDescent="0.35">
      <c r="A1391" s="252" t="s">
        <v>2971</v>
      </c>
      <c r="B1391" s="252"/>
      <c r="C1391" s="252"/>
      <c r="D1391" s="252"/>
    </row>
    <row r="1392" spans="1:4" x14ac:dyDescent="0.35">
      <c r="A1392" s="252" t="s">
        <v>2972</v>
      </c>
      <c r="B1392" s="252"/>
      <c r="C1392" s="252"/>
      <c r="D1392" s="252"/>
    </row>
    <row r="1393" spans="1:4" x14ac:dyDescent="0.35">
      <c r="A1393" s="252" t="s">
        <v>2973</v>
      </c>
      <c r="B1393" s="252"/>
      <c r="C1393" s="252"/>
      <c r="D1393" s="252"/>
    </row>
    <row r="1394" spans="1:4" x14ac:dyDescent="0.35">
      <c r="A1394" s="252" t="s">
        <v>2974</v>
      </c>
      <c r="B1394" s="252"/>
      <c r="C1394" s="252"/>
      <c r="D1394" s="252"/>
    </row>
    <row r="1395" spans="1:4" x14ac:dyDescent="0.35">
      <c r="A1395" s="252" t="s">
        <v>2975</v>
      </c>
      <c r="B1395" s="252"/>
      <c r="C1395" s="252"/>
      <c r="D1395" s="252"/>
    </row>
    <row r="1396" spans="1:4" x14ac:dyDescent="0.35">
      <c r="A1396" s="252" t="s">
        <v>2976</v>
      </c>
      <c r="B1396" s="252"/>
      <c r="C1396" s="252"/>
      <c r="D1396" s="252"/>
    </row>
    <row r="1397" spans="1:4" x14ac:dyDescent="0.35">
      <c r="A1397" s="252" t="s">
        <v>2977</v>
      </c>
      <c r="B1397" s="252"/>
      <c r="C1397" s="252"/>
      <c r="D1397" s="252"/>
    </row>
    <row r="1398" spans="1:4" x14ac:dyDescent="0.35">
      <c r="A1398" s="252" t="s">
        <v>2978</v>
      </c>
      <c r="B1398" s="252"/>
      <c r="C1398" s="252"/>
      <c r="D1398" s="252"/>
    </row>
    <row r="1399" spans="1:4" x14ac:dyDescent="0.35">
      <c r="A1399" s="252" t="s">
        <v>2979</v>
      </c>
      <c r="B1399" s="252"/>
      <c r="C1399" s="252"/>
      <c r="D1399" s="252"/>
    </row>
    <row r="1400" spans="1:4" x14ac:dyDescent="0.35">
      <c r="A1400" s="252" t="s">
        <v>2980</v>
      </c>
      <c r="B1400" s="252"/>
      <c r="C1400" s="252"/>
      <c r="D1400" s="252"/>
    </row>
    <row r="1401" spans="1:4" x14ac:dyDescent="0.35">
      <c r="A1401" s="252" t="s">
        <v>2981</v>
      </c>
      <c r="B1401" s="252"/>
      <c r="C1401" s="252"/>
      <c r="D1401" s="252"/>
    </row>
    <row r="1402" spans="1:4" x14ac:dyDescent="0.35">
      <c r="A1402" s="252" t="s">
        <v>2982</v>
      </c>
      <c r="B1402" s="252"/>
      <c r="C1402" s="252"/>
      <c r="D1402" s="252"/>
    </row>
    <row r="1403" spans="1:4" x14ac:dyDescent="0.35">
      <c r="A1403" s="252" t="s">
        <v>2983</v>
      </c>
      <c r="B1403" s="252"/>
      <c r="C1403" s="252"/>
      <c r="D1403" s="252"/>
    </row>
    <row r="1404" spans="1:4" x14ac:dyDescent="0.35">
      <c r="A1404" s="252" t="s">
        <v>2984</v>
      </c>
      <c r="B1404" s="252"/>
      <c r="C1404" s="252"/>
      <c r="D1404" s="252"/>
    </row>
    <row r="1405" spans="1:4" x14ac:dyDescent="0.35">
      <c r="A1405" s="252" t="s">
        <v>2985</v>
      </c>
      <c r="B1405" s="252"/>
      <c r="C1405" s="252"/>
      <c r="D1405" s="252"/>
    </row>
    <row r="1406" spans="1:4" x14ac:dyDescent="0.35">
      <c r="A1406" s="252" t="s">
        <v>2986</v>
      </c>
      <c r="B1406" s="252"/>
      <c r="C1406" s="252"/>
      <c r="D1406" s="252"/>
    </row>
    <row r="1407" spans="1:4" x14ac:dyDescent="0.35">
      <c r="A1407" s="252" t="s">
        <v>2987</v>
      </c>
      <c r="B1407" s="252"/>
      <c r="C1407" s="252"/>
      <c r="D1407" s="252"/>
    </row>
    <row r="1408" spans="1:4" x14ac:dyDescent="0.35">
      <c r="A1408" s="252" t="s">
        <v>2988</v>
      </c>
      <c r="B1408" s="252"/>
      <c r="C1408" s="252"/>
      <c r="D1408" s="252"/>
    </row>
    <row r="1409" spans="1:4" x14ac:dyDescent="0.35">
      <c r="A1409" s="252" t="s">
        <v>2989</v>
      </c>
      <c r="B1409" s="252"/>
      <c r="C1409" s="252"/>
      <c r="D1409" s="252"/>
    </row>
    <row r="1410" spans="1:4" x14ac:dyDescent="0.35">
      <c r="A1410" s="252" t="s">
        <v>2990</v>
      </c>
      <c r="B1410" s="252"/>
      <c r="C1410" s="252"/>
      <c r="D1410" s="252"/>
    </row>
    <row r="1411" spans="1:4" x14ac:dyDescent="0.35">
      <c r="A1411" s="252" t="s">
        <v>2991</v>
      </c>
      <c r="B1411" s="252"/>
      <c r="C1411" s="252"/>
      <c r="D1411" s="252"/>
    </row>
    <row r="1412" spans="1:4" x14ac:dyDescent="0.35">
      <c r="A1412" s="252" t="s">
        <v>2992</v>
      </c>
      <c r="B1412" s="252"/>
      <c r="C1412" s="252"/>
      <c r="D1412" s="252"/>
    </row>
    <row r="1413" spans="1:4" x14ac:dyDescent="0.35">
      <c r="A1413" s="252" t="s">
        <v>2993</v>
      </c>
      <c r="B1413" s="252"/>
      <c r="C1413" s="252"/>
      <c r="D1413" s="252"/>
    </row>
    <row r="1414" spans="1:4" x14ac:dyDescent="0.35">
      <c r="A1414" s="252" t="s">
        <v>2994</v>
      </c>
      <c r="B1414" s="252"/>
      <c r="C1414" s="252"/>
      <c r="D1414" s="252"/>
    </row>
    <row r="1415" spans="1:4" x14ac:dyDescent="0.35">
      <c r="A1415" s="252" t="s">
        <v>2995</v>
      </c>
      <c r="B1415" s="252"/>
      <c r="C1415" s="252"/>
      <c r="D1415" s="252"/>
    </row>
    <row r="1416" spans="1:4" x14ac:dyDescent="0.35">
      <c r="A1416" s="252" t="s">
        <v>2996</v>
      </c>
      <c r="B1416" s="252"/>
      <c r="C1416" s="252"/>
      <c r="D1416" s="252"/>
    </row>
    <row r="1417" spans="1:4" x14ac:dyDescent="0.35">
      <c r="A1417" s="252" t="s">
        <v>2997</v>
      </c>
      <c r="B1417" s="252"/>
      <c r="C1417" s="252"/>
      <c r="D1417" s="252"/>
    </row>
    <row r="1418" spans="1:4" x14ac:dyDescent="0.35">
      <c r="A1418" s="252" t="s">
        <v>2998</v>
      </c>
      <c r="B1418" s="252"/>
      <c r="C1418" s="252"/>
      <c r="D1418" s="252"/>
    </row>
    <row r="1419" spans="1:4" x14ac:dyDescent="0.35">
      <c r="A1419" s="252" t="s">
        <v>2999</v>
      </c>
      <c r="B1419" s="252"/>
      <c r="C1419" s="252"/>
      <c r="D1419" s="252"/>
    </row>
    <row r="1420" spans="1:4" x14ac:dyDescent="0.35">
      <c r="A1420" s="252" t="s">
        <v>3000</v>
      </c>
      <c r="B1420" s="252"/>
      <c r="C1420" s="252"/>
      <c r="D1420" s="252"/>
    </row>
    <row r="1421" spans="1:4" x14ac:dyDescent="0.35">
      <c r="A1421" s="252" t="s">
        <v>3001</v>
      </c>
      <c r="B1421" s="252"/>
      <c r="C1421" s="252"/>
      <c r="D1421" s="252"/>
    </row>
    <row r="1422" spans="1:4" x14ac:dyDescent="0.35">
      <c r="A1422" s="252" t="s">
        <v>3002</v>
      </c>
      <c r="B1422" s="252"/>
      <c r="C1422" s="252"/>
      <c r="D1422" s="252"/>
    </row>
    <row r="1423" spans="1:4" x14ac:dyDescent="0.35">
      <c r="A1423" s="252" t="s">
        <v>3003</v>
      </c>
      <c r="B1423" s="252"/>
      <c r="C1423" s="252"/>
      <c r="D1423" s="252"/>
    </row>
    <row r="1424" spans="1:4" x14ac:dyDescent="0.35">
      <c r="A1424" s="252" t="s">
        <v>3004</v>
      </c>
      <c r="B1424" s="252"/>
      <c r="C1424" s="252"/>
      <c r="D1424" s="252"/>
    </row>
    <row r="1425" spans="1:4" x14ac:dyDescent="0.35">
      <c r="A1425" s="252" t="s">
        <v>3005</v>
      </c>
      <c r="B1425" s="252"/>
      <c r="C1425" s="252"/>
      <c r="D1425" s="252"/>
    </row>
    <row r="1426" spans="1:4" x14ac:dyDescent="0.35">
      <c r="A1426" s="252" t="s">
        <v>3006</v>
      </c>
      <c r="B1426" s="252"/>
      <c r="C1426" s="252"/>
      <c r="D1426" s="252"/>
    </row>
    <row r="1427" spans="1:4" x14ac:dyDescent="0.35">
      <c r="A1427" s="252" t="s">
        <v>3007</v>
      </c>
      <c r="B1427" s="252"/>
      <c r="C1427" s="252"/>
      <c r="D1427" s="252"/>
    </row>
    <row r="1428" spans="1:4" x14ac:dyDescent="0.35">
      <c r="A1428" s="252" t="s">
        <v>3008</v>
      </c>
      <c r="B1428" s="252"/>
      <c r="C1428" s="252"/>
      <c r="D1428" s="252"/>
    </row>
    <row r="1429" spans="1:4" x14ac:dyDescent="0.35">
      <c r="A1429" s="252" t="s">
        <v>3009</v>
      </c>
      <c r="B1429" s="252"/>
      <c r="C1429" s="252"/>
      <c r="D1429" s="252"/>
    </row>
    <row r="1430" spans="1:4" x14ac:dyDescent="0.35">
      <c r="A1430" s="252" t="s">
        <v>3010</v>
      </c>
      <c r="B1430" s="252"/>
      <c r="C1430" s="252"/>
      <c r="D1430" s="252"/>
    </row>
    <row r="1431" spans="1:4" x14ac:dyDescent="0.35">
      <c r="A1431" s="252" t="s">
        <v>3011</v>
      </c>
      <c r="B1431" s="252"/>
      <c r="C1431" s="252"/>
      <c r="D1431" s="252"/>
    </row>
    <row r="1432" spans="1:4" x14ac:dyDescent="0.35">
      <c r="A1432" s="252" t="s">
        <v>3012</v>
      </c>
      <c r="B1432" s="252"/>
      <c r="C1432" s="252"/>
      <c r="D1432" s="252"/>
    </row>
    <row r="1433" spans="1:4" x14ac:dyDescent="0.35">
      <c r="A1433" s="252" t="s">
        <v>3013</v>
      </c>
      <c r="B1433" s="252"/>
      <c r="C1433" s="252"/>
      <c r="D1433" s="252"/>
    </row>
    <row r="1434" spans="1:4" x14ac:dyDescent="0.35">
      <c r="A1434" s="252" t="s">
        <v>3014</v>
      </c>
      <c r="B1434" s="252"/>
      <c r="C1434" s="252"/>
      <c r="D1434" s="252"/>
    </row>
    <row r="1435" spans="1:4" x14ac:dyDescent="0.35">
      <c r="A1435" s="252" t="s">
        <v>3015</v>
      </c>
      <c r="B1435" s="252"/>
      <c r="C1435" s="252"/>
      <c r="D1435" s="252"/>
    </row>
    <row r="1436" spans="1:4" x14ac:dyDescent="0.35">
      <c r="A1436" s="252" t="s">
        <v>3016</v>
      </c>
      <c r="B1436" s="252"/>
      <c r="C1436" s="252"/>
      <c r="D1436" s="252"/>
    </row>
    <row r="1437" spans="1:4" x14ac:dyDescent="0.35">
      <c r="A1437" s="252" t="s">
        <v>3017</v>
      </c>
      <c r="B1437" s="252"/>
      <c r="C1437" s="252"/>
      <c r="D1437" s="252"/>
    </row>
    <row r="1438" spans="1:4" x14ac:dyDescent="0.35">
      <c r="A1438" s="252" t="s">
        <v>3018</v>
      </c>
      <c r="B1438" s="252"/>
      <c r="C1438" s="252"/>
      <c r="D1438" s="252"/>
    </row>
    <row r="1439" spans="1:4" x14ac:dyDescent="0.35">
      <c r="A1439" s="252" t="s">
        <v>3019</v>
      </c>
      <c r="B1439" s="252"/>
      <c r="C1439" s="252"/>
      <c r="D1439" s="252"/>
    </row>
    <row r="1440" spans="1:4" x14ac:dyDescent="0.35">
      <c r="A1440" s="252" t="s">
        <v>3020</v>
      </c>
      <c r="B1440" s="252"/>
      <c r="C1440" s="252"/>
      <c r="D1440" s="252"/>
    </row>
    <row r="1441" spans="1:4" x14ac:dyDescent="0.35">
      <c r="A1441" s="252" t="s">
        <v>3021</v>
      </c>
      <c r="B1441" s="252"/>
      <c r="C1441" s="252"/>
      <c r="D1441" s="252"/>
    </row>
    <row r="1442" spans="1:4" x14ac:dyDescent="0.35">
      <c r="A1442" s="252" t="s">
        <v>3022</v>
      </c>
      <c r="B1442" s="252"/>
      <c r="C1442" s="252"/>
      <c r="D1442" s="252"/>
    </row>
    <row r="1443" spans="1:4" x14ac:dyDescent="0.35">
      <c r="A1443" s="252" t="s">
        <v>3023</v>
      </c>
      <c r="B1443" s="252"/>
      <c r="C1443" s="252"/>
      <c r="D1443" s="252"/>
    </row>
    <row r="1444" spans="1:4" x14ac:dyDescent="0.35">
      <c r="A1444" s="252" t="s">
        <v>3024</v>
      </c>
      <c r="B1444" s="252"/>
      <c r="C1444" s="252"/>
      <c r="D1444" s="252"/>
    </row>
    <row r="1445" spans="1:4" x14ac:dyDescent="0.35">
      <c r="A1445" s="252" t="s">
        <v>3025</v>
      </c>
      <c r="B1445" s="252"/>
      <c r="C1445" s="252"/>
      <c r="D1445" s="252"/>
    </row>
    <row r="1446" spans="1:4" x14ac:dyDescent="0.35">
      <c r="A1446" s="252" t="s">
        <v>3026</v>
      </c>
      <c r="B1446" s="252"/>
      <c r="C1446" s="252"/>
      <c r="D1446" s="252"/>
    </row>
    <row r="1447" spans="1:4" x14ac:dyDescent="0.35">
      <c r="A1447" s="252" t="s">
        <v>3027</v>
      </c>
      <c r="B1447" s="252"/>
      <c r="C1447" s="252"/>
      <c r="D1447" s="252"/>
    </row>
    <row r="1448" spans="1:4" x14ac:dyDescent="0.35">
      <c r="A1448" s="252" t="s">
        <v>3028</v>
      </c>
      <c r="B1448" s="252"/>
      <c r="C1448" s="252"/>
      <c r="D1448" s="252"/>
    </row>
    <row r="1449" spans="1:4" x14ac:dyDescent="0.35">
      <c r="A1449" s="252" t="s">
        <v>3029</v>
      </c>
      <c r="B1449" s="252"/>
      <c r="C1449" s="252"/>
      <c r="D1449" s="252"/>
    </row>
    <row r="1450" spans="1:4" x14ac:dyDescent="0.35">
      <c r="A1450" s="252" t="s">
        <v>3030</v>
      </c>
      <c r="B1450" s="252"/>
      <c r="C1450" s="252"/>
      <c r="D1450" s="252"/>
    </row>
    <row r="1451" spans="1:4" x14ac:dyDescent="0.35">
      <c r="A1451" s="252" t="s">
        <v>3031</v>
      </c>
      <c r="B1451" s="252"/>
      <c r="C1451" s="252"/>
      <c r="D1451" s="252"/>
    </row>
    <row r="1452" spans="1:4" x14ac:dyDescent="0.35">
      <c r="A1452" s="252" t="s">
        <v>3032</v>
      </c>
      <c r="B1452" s="252"/>
      <c r="C1452" s="252"/>
      <c r="D1452" s="252"/>
    </row>
    <row r="1453" spans="1:4" x14ac:dyDescent="0.35">
      <c r="A1453" s="252" t="s">
        <v>3033</v>
      </c>
      <c r="B1453" s="252"/>
      <c r="C1453" s="252"/>
      <c r="D1453" s="252"/>
    </row>
    <row r="1454" spans="1:4" x14ac:dyDescent="0.35">
      <c r="A1454" s="252" t="s">
        <v>3034</v>
      </c>
      <c r="B1454" s="252"/>
      <c r="C1454" s="252"/>
      <c r="D1454" s="252"/>
    </row>
    <row r="1455" spans="1:4" x14ac:dyDescent="0.35">
      <c r="A1455" s="252" t="s">
        <v>3035</v>
      </c>
      <c r="B1455" s="252"/>
      <c r="C1455" s="252"/>
      <c r="D1455" s="252"/>
    </row>
    <row r="1456" spans="1:4" x14ac:dyDescent="0.35">
      <c r="A1456" s="252" t="s">
        <v>3036</v>
      </c>
      <c r="B1456" s="252"/>
      <c r="C1456" s="252"/>
      <c r="D1456" s="252"/>
    </row>
    <row r="1457" spans="1:4" x14ac:dyDescent="0.35">
      <c r="A1457" s="252" t="s">
        <v>3037</v>
      </c>
      <c r="B1457" s="252"/>
      <c r="C1457" s="252"/>
      <c r="D1457" s="252"/>
    </row>
    <row r="1458" spans="1:4" x14ac:dyDescent="0.35">
      <c r="A1458" s="252" t="s">
        <v>3038</v>
      </c>
      <c r="B1458" s="252"/>
      <c r="C1458" s="252"/>
      <c r="D1458" s="252"/>
    </row>
    <row r="1459" spans="1:4" x14ac:dyDescent="0.35">
      <c r="A1459" s="252" t="s">
        <v>3039</v>
      </c>
      <c r="B1459" s="252"/>
      <c r="C1459" s="252"/>
      <c r="D1459" s="252"/>
    </row>
    <row r="1460" spans="1:4" x14ac:dyDescent="0.35">
      <c r="A1460" s="252" t="s">
        <v>3040</v>
      </c>
      <c r="B1460" s="252"/>
      <c r="C1460" s="252"/>
      <c r="D1460" s="252"/>
    </row>
    <row r="1461" spans="1:4" x14ac:dyDescent="0.35">
      <c r="A1461" s="252" t="s">
        <v>3041</v>
      </c>
      <c r="B1461" s="252"/>
      <c r="C1461" s="252"/>
      <c r="D1461" s="252"/>
    </row>
    <row r="1462" spans="1:4" x14ac:dyDescent="0.35">
      <c r="A1462" s="252" t="s">
        <v>3042</v>
      </c>
      <c r="B1462" s="252"/>
      <c r="C1462" s="252"/>
      <c r="D1462" s="252"/>
    </row>
    <row r="1463" spans="1:4" x14ac:dyDescent="0.35">
      <c r="A1463" s="252" t="s">
        <v>3043</v>
      </c>
      <c r="B1463" s="252"/>
      <c r="C1463" s="252"/>
      <c r="D1463" s="252"/>
    </row>
    <row r="1464" spans="1:4" x14ac:dyDescent="0.35">
      <c r="A1464" s="252" t="s">
        <v>3044</v>
      </c>
      <c r="B1464" s="252"/>
      <c r="C1464" s="252"/>
      <c r="D1464" s="252"/>
    </row>
    <row r="1465" spans="1:4" x14ac:dyDescent="0.35">
      <c r="A1465" s="252" t="s">
        <v>3045</v>
      </c>
      <c r="B1465" s="252"/>
      <c r="C1465" s="252"/>
      <c r="D1465" s="252"/>
    </row>
    <row r="1466" spans="1:4" x14ac:dyDescent="0.35">
      <c r="A1466" s="252" t="s">
        <v>3046</v>
      </c>
      <c r="B1466" s="252"/>
      <c r="C1466" s="252"/>
      <c r="D1466" s="252"/>
    </row>
    <row r="1467" spans="1:4" x14ac:dyDescent="0.35">
      <c r="A1467" s="252" t="s">
        <v>3047</v>
      </c>
      <c r="B1467" s="252"/>
      <c r="C1467" s="252"/>
      <c r="D1467" s="252"/>
    </row>
    <row r="1468" spans="1:4" x14ac:dyDescent="0.35">
      <c r="A1468" s="252" t="s">
        <v>3048</v>
      </c>
      <c r="B1468" s="252"/>
      <c r="C1468" s="252"/>
      <c r="D1468" s="252"/>
    </row>
    <row r="1469" spans="1:4" x14ac:dyDescent="0.35">
      <c r="A1469" s="252" t="s">
        <v>3049</v>
      </c>
      <c r="B1469" s="252"/>
      <c r="C1469" s="252"/>
      <c r="D1469" s="252"/>
    </row>
    <row r="1470" spans="1:4" x14ac:dyDescent="0.35">
      <c r="A1470" s="252" t="s">
        <v>3050</v>
      </c>
      <c r="B1470" s="252"/>
      <c r="C1470" s="252"/>
      <c r="D1470" s="252"/>
    </row>
    <row r="1471" spans="1:4" x14ac:dyDescent="0.35">
      <c r="A1471" s="252" t="s">
        <v>3051</v>
      </c>
      <c r="B1471" s="252"/>
      <c r="C1471" s="252"/>
      <c r="D1471" s="252"/>
    </row>
    <row r="1472" spans="1:4" x14ac:dyDescent="0.35">
      <c r="A1472" s="252" t="s">
        <v>3052</v>
      </c>
      <c r="B1472" s="252"/>
      <c r="C1472" s="252"/>
      <c r="D1472" s="252"/>
    </row>
    <row r="1473" spans="1:4" x14ac:dyDescent="0.35">
      <c r="A1473" s="252" t="s">
        <v>3053</v>
      </c>
      <c r="B1473" s="252"/>
      <c r="C1473" s="252"/>
      <c r="D1473" s="252"/>
    </row>
    <row r="1474" spans="1:4" x14ac:dyDescent="0.35">
      <c r="A1474" s="252" t="s">
        <v>3054</v>
      </c>
      <c r="B1474" s="252"/>
      <c r="C1474" s="252"/>
      <c r="D1474" s="252"/>
    </row>
    <row r="1475" spans="1:4" x14ac:dyDescent="0.35">
      <c r="A1475" s="252" t="s">
        <v>3055</v>
      </c>
      <c r="B1475" s="252"/>
      <c r="C1475" s="252"/>
      <c r="D1475" s="252"/>
    </row>
    <row r="1476" spans="1:4" x14ac:dyDescent="0.35">
      <c r="A1476" s="252" t="s">
        <v>3056</v>
      </c>
      <c r="B1476" s="252"/>
      <c r="C1476" s="252"/>
      <c r="D1476" s="252"/>
    </row>
    <row r="1477" spans="1:4" x14ac:dyDescent="0.35">
      <c r="A1477" s="252" t="s">
        <v>3057</v>
      </c>
      <c r="B1477" s="252"/>
      <c r="C1477" s="252"/>
      <c r="D1477" s="252"/>
    </row>
    <row r="1478" spans="1:4" x14ac:dyDescent="0.35">
      <c r="A1478" s="252" t="s">
        <v>3058</v>
      </c>
      <c r="B1478" s="252"/>
      <c r="C1478" s="252"/>
      <c r="D1478" s="252"/>
    </row>
    <row r="1479" spans="1:4" x14ac:dyDescent="0.35">
      <c r="A1479" s="252" t="s">
        <v>3059</v>
      </c>
      <c r="B1479" s="252"/>
      <c r="C1479" s="252"/>
      <c r="D1479" s="252"/>
    </row>
    <row r="1480" spans="1:4" x14ac:dyDescent="0.35">
      <c r="A1480" s="252" t="s">
        <v>3060</v>
      </c>
      <c r="B1480" s="252"/>
      <c r="C1480" s="252"/>
      <c r="D1480" s="252"/>
    </row>
    <row r="1481" spans="1:4" x14ac:dyDescent="0.35">
      <c r="A1481" s="252" t="s">
        <v>3061</v>
      </c>
      <c r="B1481" s="252"/>
      <c r="C1481" s="252"/>
      <c r="D1481" s="252"/>
    </row>
    <row r="1482" spans="1:4" x14ac:dyDescent="0.35">
      <c r="A1482" s="252" t="s">
        <v>3062</v>
      </c>
      <c r="B1482" s="252"/>
      <c r="C1482" s="252"/>
      <c r="D1482" s="252"/>
    </row>
    <row r="1483" spans="1:4" x14ac:dyDescent="0.35">
      <c r="A1483" s="252" t="s">
        <v>3063</v>
      </c>
      <c r="B1483" s="252"/>
      <c r="C1483" s="252"/>
      <c r="D1483" s="252"/>
    </row>
    <row r="1484" spans="1:4" x14ac:dyDescent="0.35">
      <c r="A1484" s="252" t="s">
        <v>3064</v>
      </c>
      <c r="B1484" s="252"/>
      <c r="C1484" s="252"/>
      <c r="D1484" s="252"/>
    </row>
    <row r="1485" spans="1:4" x14ac:dyDescent="0.35">
      <c r="A1485" s="252" t="s">
        <v>3065</v>
      </c>
      <c r="B1485" s="252"/>
      <c r="C1485" s="252"/>
      <c r="D1485" s="252"/>
    </row>
    <row r="1486" spans="1:4" x14ac:dyDescent="0.35">
      <c r="A1486" s="252" t="s">
        <v>3066</v>
      </c>
      <c r="B1486" s="252"/>
      <c r="C1486" s="252"/>
      <c r="D1486" s="252"/>
    </row>
    <row r="1487" spans="1:4" x14ac:dyDescent="0.35">
      <c r="A1487" s="252" t="s">
        <v>3067</v>
      </c>
      <c r="B1487" s="252"/>
      <c r="C1487" s="252"/>
      <c r="D1487" s="252"/>
    </row>
    <row r="1488" spans="1:4" x14ac:dyDescent="0.35">
      <c r="A1488" s="252" t="s">
        <v>3068</v>
      </c>
      <c r="B1488" s="252"/>
      <c r="C1488" s="252"/>
      <c r="D1488" s="252"/>
    </row>
    <row r="1489" spans="1:4" x14ac:dyDescent="0.35">
      <c r="A1489" s="252" t="s">
        <v>3069</v>
      </c>
      <c r="B1489" s="252"/>
      <c r="C1489" s="252"/>
      <c r="D1489" s="252"/>
    </row>
    <row r="1490" spans="1:4" x14ac:dyDescent="0.35">
      <c r="A1490" s="252" t="s">
        <v>3070</v>
      </c>
      <c r="B1490" s="252"/>
      <c r="C1490" s="252"/>
      <c r="D1490" s="252"/>
    </row>
    <row r="1491" spans="1:4" x14ac:dyDescent="0.35">
      <c r="A1491" s="252" t="s">
        <v>3071</v>
      </c>
      <c r="B1491" s="252"/>
      <c r="C1491" s="252"/>
      <c r="D1491" s="252"/>
    </row>
    <row r="1492" spans="1:4" x14ac:dyDescent="0.35">
      <c r="A1492" s="252" t="s">
        <v>3072</v>
      </c>
      <c r="B1492" s="252"/>
      <c r="C1492" s="252"/>
      <c r="D1492" s="252"/>
    </row>
    <row r="1493" spans="1:4" x14ac:dyDescent="0.35">
      <c r="A1493" s="252" t="s">
        <v>3073</v>
      </c>
      <c r="B1493" s="252"/>
      <c r="C1493" s="252"/>
      <c r="D1493" s="252"/>
    </row>
    <row r="1494" spans="1:4" x14ac:dyDescent="0.35">
      <c r="A1494" s="252" t="s">
        <v>3074</v>
      </c>
      <c r="B1494" s="252"/>
      <c r="C1494" s="252"/>
      <c r="D1494" s="252"/>
    </row>
    <row r="1495" spans="1:4" x14ac:dyDescent="0.35">
      <c r="A1495" s="252" t="s">
        <v>3075</v>
      </c>
      <c r="B1495" s="252"/>
      <c r="C1495" s="252"/>
      <c r="D1495" s="252"/>
    </row>
    <row r="1496" spans="1:4" x14ac:dyDescent="0.35">
      <c r="A1496" s="252" t="s">
        <v>3076</v>
      </c>
      <c r="B1496" s="252"/>
      <c r="C1496" s="252"/>
      <c r="D1496" s="252"/>
    </row>
    <row r="1497" spans="1:4" x14ac:dyDescent="0.35">
      <c r="A1497" s="252" t="s">
        <v>3077</v>
      </c>
      <c r="B1497" s="252"/>
      <c r="C1497" s="252"/>
      <c r="D1497" s="252"/>
    </row>
    <row r="1498" spans="1:4" x14ac:dyDescent="0.35">
      <c r="A1498" s="252" t="s">
        <v>3078</v>
      </c>
      <c r="B1498" s="252"/>
      <c r="C1498" s="252"/>
      <c r="D1498" s="252"/>
    </row>
    <row r="1499" spans="1:4" x14ac:dyDescent="0.35">
      <c r="A1499" s="252" t="s">
        <v>3079</v>
      </c>
      <c r="B1499" s="252"/>
      <c r="C1499" s="252"/>
      <c r="D1499" s="252"/>
    </row>
    <row r="1500" spans="1:4" x14ac:dyDescent="0.35">
      <c r="A1500" s="252" t="s">
        <v>3080</v>
      </c>
      <c r="B1500" s="252"/>
      <c r="C1500" s="252"/>
      <c r="D1500" s="252"/>
    </row>
    <row r="1501" spans="1:4" x14ac:dyDescent="0.35">
      <c r="A1501" s="252" t="s">
        <v>3081</v>
      </c>
      <c r="B1501" s="252"/>
      <c r="C1501" s="252"/>
      <c r="D1501" s="252"/>
    </row>
    <row r="1502" spans="1:4" x14ac:dyDescent="0.35">
      <c r="A1502" s="252" t="s">
        <v>3082</v>
      </c>
      <c r="B1502" s="252"/>
      <c r="C1502" s="252"/>
      <c r="D1502" s="252"/>
    </row>
    <row r="1503" spans="1:4" x14ac:dyDescent="0.35">
      <c r="A1503" s="252" t="s">
        <v>3083</v>
      </c>
      <c r="B1503" s="252"/>
      <c r="C1503" s="252"/>
      <c r="D1503" s="252"/>
    </row>
    <row r="1504" spans="1:4" x14ac:dyDescent="0.35">
      <c r="A1504" s="252" t="s">
        <v>3084</v>
      </c>
      <c r="B1504" s="252"/>
      <c r="C1504" s="252"/>
      <c r="D1504" s="252"/>
    </row>
    <row r="1505" spans="1:4" x14ac:dyDescent="0.35">
      <c r="A1505" s="252" t="s">
        <v>3085</v>
      </c>
      <c r="B1505" s="252"/>
      <c r="C1505" s="252"/>
      <c r="D1505" s="252"/>
    </row>
    <row r="1506" spans="1:4" x14ac:dyDescent="0.35">
      <c r="A1506" s="252" t="s">
        <v>3086</v>
      </c>
      <c r="B1506" s="252"/>
      <c r="C1506" s="252"/>
      <c r="D1506" s="252"/>
    </row>
    <row r="1507" spans="1:4" x14ac:dyDescent="0.35">
      <c r="A1507" s="252" t="s">
        <v>3087</v>
      </c>
      <c r="B1507" s="252"/>
      <c r="C1507" s="252"/>
      <c r="D1507" s="252"/>
    </row>
    <row r="1508" spans="1:4" x14ac:dyDescent="0.35">
      <c r="A1508" s="252" t="s">
        <v>3088</v>
      </c>
      <c r="B1508" s="252"/>
      <c r="C1508" s="252"/>
      <c r="D1508" s="252"/>
    </row>
    <row r="1509" spans="1:4" x14ac:dyDescent="0.35">
      <c r="A1509" s="252" t="s">
        <v>3089</v>
      </c>
      <c r="B1509" s="252"/>
      <c r="C1509" s="252"/>
      <c r="D1509" s="252"/>
    </row>
    <row r="1510" spans="1:4" x14ac:dyDescent="0.35">
      <c r="A1510" s="252" t="s">
        <v>3090</v>
      </c>
      <c r="B1510" s="252"/>
      <c r="C1510" s="252"/>
      <c r="D1510" s="252"/>
    </row>
    <row r="1511" spans="1:4" x14ac:dyDescent="0.35">
      <c r="A1511" s="252" t="s">
        <v>3091</v>
      </c>
      <c r="B1511" s="252"/>
      <c r="C1511" s="252"/>
      <c r="D1511" s="252"/>
    </row>
    <row r="1512" spans="1:4" x14ac:dyDescent="0.35">
      <c r="A1512" s="252" t="s">
        <v>3092</v>
      </c>
      <c r="B1512" s="252"/>
      <c r="C1512" s="252"/>
      <c r="D1512" s="252"/>
    </row>
    <row r="1513" spans="1:4" x14ac:dyDescent="0.35">
      <c r="A1513" s="252" t="s">
        <v>3093</v>
      </c>
      <c r="B1513" s="252"/>
      <c r="C1513" s="252"/>
      <c r="D1513" s="252"/>
    </row>
    <row r="1514" spans="1:4" x14ac:dyDescent="0.35">
      <c r="A1514" s="252" t="s">
        <v>3094</v>
      </c>
      <c r="B1514" s="252"/>
      <c r="C1514" s="252"/>
      <c r="D1514" s="252"/>
    </row>
    <row r="1515" spans="1:4" x14ac:dyDescent="0.35">
      <c r="A1515" s="252" t="s">
        <v>3095</v>
      </c>
      <c r="B1515" s="252"/>
      <c r="C1515" s="252"/>
      <c r="D1515" s="252"/>
    </row>
    <row r="1516" spans="1:4" x14ac:dyDescent="0.35">
      <c r="A1516" s="252" t="s">
        <v>3096</v>
      </c>
      <c r="B1516" s="252"/>
      <c r="C1516" s="252"/>
      <c r="D1516" s="252"/>
    </row>
    <row r="1517" spans="1:4" x14ac:dyDescent="0.35">
      <c r="A1517" s="252" t="s">
        <v>3097</v>
      </c>
      <c r="B1517" s="252"/>
      <c r="C1517" s="252"/>
      <c r="D1517" s="252"/>
    </row>
    <row r="1518" spans="1:4" x14ac:dyDescent="0.35">
      <c r="A1518" s="252" t="s">
        <v>3098</v>
      </c>
      <c r="B1518" s="252"/>
      <c r="C1518" s="252"/>
      <c r="D1518" s="252"/>
    </row>
    <row r="1519" spans="1:4" x14ac:dyDescent="0.35">
      <c r="A1519" s="252" t="s">
        <v>3099</v>
      </c>
      <c r="B1519" s="252"/>
      <c r="C1519" s="252"/>
      <c r="D1519" s="252"/>
    </row>
    <row r="1520" spans="1:4" x14ac:dyDescent="0.35">
      <c r="A1520" s="252" t="s">
        <v>3100</v>
      </c>
      <c r="B1520" s="252"/>
      <c r="C1520" s="252"/>
      <c r="D1520" s="252"/>
    </row>
    <row r="1521" spans="1:4" x14ac:dyDescent="0.35">
      <c r="A1521" s="252" t="s">
        <v>3101</v>
      </c>
      <c r="B1521" s="252"/>
      <c r="C1521" s="252"/>
      <c r="D1521" s="252"/>
    </row>
    <row r="1522" spans="1:4" x14ac:dyDescent="0.35">
      <c r="A1522" s="252" t="s">
        <v>3102</v>
      </c>
      <c r="B1522" s="252"/>
      <c r="C1522" s="252"/>
      <c r="D1522" s="252"/>
    </row>
    <row r="1523" spans="1:4" x14ac:dyDescent="0.35">
      <c r="A1523" s="252" t="s">
        <v>3103</v>
      </c>
      <c r="B1523" s="252"/>
      <c r="C1523" s="252"/>
      <c r="D1523" s="252"/>
    </row>
    <row r="1524" spans="1:4" x14ac:dyDescent="0.35">
      <c r="A1524" s="252" t="s">
        <v>3104</v>
      </c>
      <c r="B1524" s="252"/>
      <c r="C1524" s="252"/>
      <c r="D1524" s="252"/>
    </row>
    <row r="1525" spans="1:4" x14ac:dyDescent="0.35">
      <c r="A1525" s="252" t="s">
        <v>3105</v>
      </c>
      <c r="B1525" s="252"/>
      <c r="C1525" s="252"/>
      <c r="D1525" s="252"/>
    </row>
    <row r="1526" spans="1:4" x14ac:dyDescent="0.35">
      <c r="A1526" s="252" t="s">
        <v>3106</v>
      </c>
      <c r="B1526" s="252"/>
      <c r="C1526" s="252"/>
      <c r="D1526" s="252"/>
    </row>
    <row r="1527" spans="1:4" x14ac:dyDescent="0.35">
      <c r="A1527" s="252" t="s">
        <v>3107</v>
      </c>
      <c r="B1527" s="252"/>
      <c r="C1527" s="252"/>
      <c r="D1527" s="252"/>
    </row>
    <row r="1528" spans="1:4" x14ac:dyDescent="0.35">
      <c r="A1528" s="252" t="s">
        <v>3108</v>
      </c>
      <c r="B1528" s="252"/>
      <c r="C1528" s="252"/>
      <c r="D1528" s="252"/>
    </row>
    <row r="1529" spans="1:4" x14ac:dyDescent="0.35">
      <c r="A1529" s="252" t="s">
        <v>3109</v>
      </c>
      <c r="B1529" s="252"/>
      <c r="C1529" s="252"/>
      <c r="D1529" s="252"/>
    </row>
    <row r="1530" spans="1:4" x14ac:dyDescent="0.35">
      <c r="A1530" s="252" t="s">
        <v>3110</v>
      </c>
      <c r="B1530" s="252"/>
      <c r="C1530" s="252"/>
      <c r="D1530" s="252"/>
    </row>
    <row r="1531" spans="1:4" x14ac:dyDescent="0.35">
      <c r="A1531" s="252" t="s">
        <v>3111</v>
      </c>
      <c r="B1531" s="252"/>
      <c r="C1531" s="252"/>
      <c r="D1531" s="252"/>
    </row>
    <row r="1532" spans="1:4" x14ac:dyDescent="0.35">
      <c r="A1532" s="252" t="s">
        <v>3112</v>
      </c>
      <c r="B1532" s="252"/>
      <c r="C1532" s="252"/>
      <c r="D1532" s="252"/>
    </row>
    <row r="1533" spans="1:4" x14ac:dyDescent="0.35">
      <c r="A1533" s="252" t="s">
        <v>3113</v>
      </c>
      <c r="B1533" s="252"/>
      <c r="C1533" s="252"/>
      <c r="D1533" s="252"/>
    </row>
    <row r="1534" spans="1:4" x14ac:dyDescent="0.35">
      <c r="A1534" s="252" t="s">
        <v>3114</v>
      </c>
      <c r="B1534" s="252"/>
      <c r="C1534" s="252"/>
      <c r="D1534" s="252"/>
    </row>
    <row r="1535" spans="1:4" x14ac:dyDescent="0.35">
      <c r="A1535" s="252" t="s">
        <v>3115</v>
      </c>
      <c r="B1535" s="252"/>
      <c r="C1535" s="252"/>
      <c r="D1535" s="252"/>
    </row>
    <row r="1536" spans="1:4" x14ac:dyDescent="0.35">
      <c r="A1536" s="252" t="s">
        <v>3116</v>
      </c>
      <c r="B1536" s="252"/>
      <c r="C1536" s="252"/>
      <c r="D1536" s="252"/>
    </row>
    <row r="1537" spans="1:4" x14ac:dyDescent="0.35">
      <c r="A1537" s="252" t="s">
        <v>3117</v>
      </c>
      <c r="B1537" s="252"/>
      <c r="C1537" s="252"/>
      <c r="D1537" s="252"/>
    </row>
    <row r="1538" spans="1:4" x14ac:dyDescent="0.35">
      <c r="A1538" s="252" t="s">
        <v>3118</v>
      </c>
      <c r="B1538" s="252"/>
      <c r="C1538" s="252"/>
      <c r="D1538" s="252"/>
    </row>
    <row r="1539" spans="1:4" x14ac:dyDescent="0.35">
      <c r="A1539" s="252" t="s">
        <v>3119</v>
      </c>
      <c r="B1539" s="252"/>
      <c r="C1539" s="252"/>
      <c r="D1539" s="252"/>
    </row>
    <row r="1540" spans="1:4" x14ac:dyDescent="0.35">
      <c r="A1540" s="252" t="s">
        <v>3120</v>
      </c>
      <c r="B1540" s="252"/>
      <c r="C1540" s="252"/>
      <c r="D1540" s="252"/>
    </row>
    <row r="1541" spans="1:4" x14ac:dyDescent="0.35">
      <c r="A1541" s="252" t="s">
        <v>3121</v>
      </c>
      <c r="B1541" s="252"/>
      <c r="C1541" s="252"/>
      <c r="D1541" s="252"/>
    </row>
    <row r="1542" spans="1:4" x14ac:dyDescent="0.35">
      <c r="A1542" s="252" t="s">
        <v>3122</v>
      </c>
      <c r="B1542" s="252"/>
      <c r="C1542" s="252"/>
      <c r="D1542" s="252"/>
    </row>
    <row r="1543" spans="1:4" x14ac:dyDescent="0.35">
      <c r="A1543" s="252" t="s">
        <v>3123</v>
      </c>
      <c r="B1543" s="252"/>
      <c r="C1543" s="252"/>
      <c r="D1543" s="252"/>
    </row>
    <row r="1544" spans="1:4" x14ac:dyDescent="0.35">
      <c r="A1544" s="252" t="s">
        <v>3124</v>
      </c>
      <c r="B1544" s="252"/>
      <c r="C1544" s="252"/>
      <c r="D1544" s="252"/>
    </row>
    <row r="1545" spans="1:4" x14ac:dyDescent="0.35">
      <c r="A1545" s="252" t="s">
        <v>3125</v>
      </c>
      <c r="B1545" s="252"/>
      <c r="C1545" s="252"/>
      <c r="D1545" s="252"/>
    </row>
    <row r="1546" spans="1:4" x14ac:dyDescent="0.35">
      <c r="A1546" s="252" t="s">
        <v>3126</v>
      </c>
      <c r="B1546" s="252"/>
      <c r="C1546" s="252"/>
      <c r="D1546" s="252"/>
    </row>
    <row r="1547" spans="1:4" x14ac:dyDescent="0.35">
      <c r="A1547" s="252" t="s">
        <v>3127</v>
      </c>
      <c r="B1547" s="252"/>
      <c r="C1547" s="252"/>
      <c r="D1547" s="252"/>
    </row>
    <row r="1548" spans="1:4" x14ac:dyDescent="0.35">
      <c r="A1548" s="252" t="s">
        <v>3128</v>
      </c>
      <c r="B1548" s="252"/>
      <c r="C1548" s="252"/>
      <c r="D1548" s="252"/>
    </row>
    <row r="1549" spans="1:4" x14ac:dyDescent="0.35">
      <c r="A1549" s="252" t="s">
        <v>3129</v>
      </c>
      <c r="B1549" s="252"/>
      <c r="C1549" s="252"/>
      <c r="D1549" s="252"/>
    </row>
    <row r="1550" spans="1:4" x14ac:dyDescent="0.35">
      <c r="A1550" s="252" t="s">
        <v>3130</v>
      </c>
      <c r="B1550" s="252"/>
      <c r="C1550" s="252"/>
      <c r="D1550" s="252"/>
    </row>
    <row r="1551" spans="1:4" x14ac:dyDescent="0.35">
      <c r="A1551" s="252" t="s">
        <v>3131</v>
      </c>
      <c r="B1551" s="252"/>
      <c r="C1551" s="252"/>
      <c r="D1551" s="252"/>
    </row>
    <row r="1552" spans="1:4" x14ac:dyDescent="0.35">
      <c r="A1552" s="252" t="s">
        <v>3132</v>
      </c>
      <c r="B1552" s="252"/>
      <c r="C1552" s="252"/>
      <c r="D1552" s="252"/>
    </row>
    <row r="1553" spans="1:4" x14ac:dyDescent="0.35">
      <c r="A1553" s="252" t="s">
        <v>3133</v>
      </c>
      <c r="B1553" s="252"/>
      <c r="C1553" s="252"/>
      <c r="D1553" s="252"/>
    </row>
    <row r="1554" spans="1:4" x14ac:dyDescent="0.35">
      <c r="A1554" s="252" t="s">
        <v>3134</v>
      </c>
      <c r="B1554" s="252"/>
      <c r="C1554" s="252"/>
      <c r="D1554" s="252"/>
    </row>
    <row r="1555" spans="1:4" x14ac:dyDescent="0.35">
      <c r="A1555" s="252" t="s">
        <v>3135</v>
      </c>
      <c r="B1555" s="252"/>
      <c r="C1555" s="252"/>
      <c r="D1555" s="252"/>
    </row>
    <row r="1556" spans="1:4" x14ac:dyDescent="0.35">
      <c r="A1556" s="252" t="s">
        <v>3136</v>
      </c>
      <c r="B1556" s="252"/>
      <c r="C1556" s="252"/>
      <c r="D1556" s="252"/>
    </row>
    <row r="1557" spans="1:4" x14ac:dyDescent="0.35">
      <c r="A1557" s="252" t="s">
        <v>3137</v>
      </c>
      <c r="B1557" s="252"/>
      <c r="C1557" s="252"/>
      <c r="D1557" s="252"/>
    </row>
    <row r="1558" spans="1:4" x14ac:dyDescent="0.35">
      <c r="A1558" s="252" t="s">
        <v>3138</v>
      </c>
      <c r="B1558" s="252"/>
      <c r="C1558" s="252"/>
      <c r="D1558" s="252"/>
    </row>
    <row r="1559" spans="1:4" x14ac:dyDescent="0.35">
      <c r="A1559" s="252" t="s">
        <v>3139</v>
      </c>
      <c r="B1559" s="252"/>
      <c r="C1559" s="252"/>
      <c r="D1559" s="252"/>
    </row>
    <row r="1560" spans="1:4" x14ac:dyDescent="0.35">
      <c r="A1560" s="252" t="s">
        <v>3140</v>
      </c>
      <c r="B1560" s="252"/>
      <c r="C1560" s="252"/>
      <c r="D1560" s="252"/>
    </row>
    <row r="1561" spans="1:4" x14ac:dyDescent="0.35">
      <c r="A1561" s="252" t="s">
        <v>3141</v>
      </c>
      <c r="B1561" s="252"/>
      <c r="C1561" s="252"/>
      <c r="D1561" s="252"/>
    </row>
    <row r="1562" spans="1:4" x14ac:dyDescent="0.35">
      <c r="A1562" s="252" t="s">
        <v>3142</v>
      </c>
      <c r="B1562" s="252"/>
      <c r="C1562" s="252"/>
      <c r="D1562" s="252"/>
    </row>
    <row r="1563" spans="1:4" x14ac:dyDescent="0.35">
      <c r="A1563" s="252" t="s">
        <v>3143</v>
      </c>
      <c r="B1563" s="252"/>
      <c r="C1563" s="252"/>
      <c r="D1563" s="252"/>
    </row>
    <row r="1564" spans="1:4" x14ac:dyDescent="0.35">
      <c r="A1564" s="252" t="s">
        <v>3144</v>
      </c>
      <c r="B1564" s="252"/>
      <c r="C1564" s="252"/>
      <c r="D1564" s="252"/>
    </row>
    <row r="1565" spans="1:4" x14ac:dyDescent="0.35">
      <c r="A1565" s="252" t="s">
        <v>3145</v>
      </c>
      <c r="B1565" s="252"/>
      <c r="C1565" s="252"/>
      <c r="D1565" s="252"/>
    </row>
    <row r="1566" spans="1:4" x14ac:dyDescent="0.35">
      <c r="A1566" s="252" t="s">
        <v>3146</v>
      </c>
      <c r="B1566" s="252"/>
      <c r="C1566" s="252"/>
      <c r="D1566" s="252"/>
    </row>
    <row r="1567" spans="1:4" x14ac:dyDescent="0.35">
      <c r="A1567" s="252" t="s">
        <v>3147</v>
      </c>
      <c r="B1567" s="252"/>
      <c r="C1567" s="252"/>
      <c r="D1567" s="252"/>
    </row>
    <row r="1568" spans="1:4" x14ac:dyDescent="0.35">
      <c r="A1568" s="252" t="s">
        <v>3148</v>
      </c>
      <c r="B1568" s="252"/>
      <c r="C1568" s="252"/>
      <c r="D1568" s="252"/>
    </row>
    <row r="1569" spans="1:4" x14ac:dyDescent="0.35">
      <c r="A1569" s="252" t="s">
        <v>3149</v>
      </c>
      <c r="B1569" s="252"/>
      <c r="C1569" s="252"/>
      <c r="D1569" s="252"/>
    </row>
    <row r="1570" spans="1:4" x14ac:dyDescent="0.35">
      <c r="A1570" s="252" t="s">
        <v>3150</v>
      </c>
      <c r="B1570" s="252"/>
      <c r="C1570" s="252"/>
      <c r="D1570" s="252"/>
    </row>
    <row r="1571" spans="1:4" x14ac:dyDescent="0.35">
      <c r="A1571" s="252" t="s">
        <v>3151</v>
      </c>
      <c r="B1571" s="252"/>
      <c r="C1571" s="252"/>
      <c r="D1571" s="252"/>
    </row>
    <row r="1572" spans="1:4" x14ac:dyDescent="0.35">
      <c r="A1572" s="252" t="s">
        <v>3152</v>
      </c>
      <c r="B1572" s="252"/>
      <c r="C1572" s="252"/>
      <c r="D1572" s="252"/>
    </row>
    <row r="1573" spans="1:4" x14ac:dyDescent="0.35">
      <c r="A1573" s="252" t="s">
        <v>3153</v>
      </c>
      <c r="B1573" s="252"/>
      <c r="C1573" s="252"/>
      <c r="D1573" s="252"/>
    </row>
    <row r="1574" spans="1:4" x14ac:dyDescent="0.35">
      <c r="A1574" s="252" t="s">
        <v>3154</v>
      </c>
      <c r="B1574" s="252"/>
      <c r="C1574" s="252"/>
      <c r="D1574" s="252"/>
    </row>
    <row r="1575" spans="1:4" x14ac:dyDescent="0.35">
      <c r="A1575" s="252" t="s">
        <v>3155</v>
      </c>
      <c r="B1575" s="252"/>
      <c r="C1575" s="252"/>
      <c r="D1575" s="252"/>
    </row>
    <row r="1576" spans="1:4" x14ac:dyDescent="0.35">
      <c r="A1576" s="252" t="s">
        <v>3156</v>
      </c>
      <c r="B1576" s="252"/>
      <c r="C1576" s="252"/>
      <c r="D1576" s="252"/>
    </row>
    <row r="1577" spans="1:4" x14ac:dyDescent="0.35">
      <c r="A1577" s="252" t="s">
        <v>3157</v>
      </c>
      <c r="B1577" s="252"/>
      <c r="C1577" s="252"/>
      <c r="D1577" s="252"/>
    </row>
    <row r="1578" spans="1:4" x14ac:dyDescent="0.35">
      <c r="A1578" s="252" t="s">
        <v>3158</v>
      </c>
      <c r="B1578" s="252"/>
      <c r="C1578" s="252"/>
      <c r="D1578" s="252"/>
    </row>
    <row r="1579" spans="1:4" x14ac:dyDescent="0.35">
      <c r="A1579" s="252" t="s">
        <v>3159</v>
      </c>
      <c r="B1579" s="252"/>
      <c r="C1579" s="252"/>
      <c r="D1579" s="252"/>
    </row>
    <row r="1580" spans="1:4" x14ac:dyDescent="0.35">
      <c r="A1580" s="252" t="s">
        <v>3160</v>
      </c>
      <c r="B1580" s="252"/>
      <c r="C1580" s="252"/>
      <c r="D1580" s="252"/>
    </row>
    <row r="1581" spans="1:4" x14ac:dyDescent="0.35">
      <c r="A1581" s="252" t="s">
        <v>3161</v>
      </c>
      <c r="B1581" s="252"/>
      <c r="C1581" s="252"/>
      <c r="D1581" s="252"/>
    </row>
    <row r="1582" spans="1:4" x14ac:dyDescent="0.35">
      <c r="A1582" s="252" t="s">
        <v>3162</v>
      </c>
      <c r="B1582" s="252"/>
      <c r="C1582" s="252"/>
      <c r="D1582" s="252"/>
    </row>
    <row r="1583" spans="1:4" x14ac:dyDescent="0.35">
      <c r="A1583" s="252" t="s">
        <v>3163</v>
      </c>
      <c r="B1583" s="252"/>
      <c r="C1583" s="252"/>
      <c r="D1583" s="252"/>
    </row>
    <row r="1584" spans="1:4" x14ac:dyDescent="0.35">
      <c r="A1584" s="252" t="s">
        <v>3164</v>
      </c>
      <c r="B1584" s="252"/>
      <c r="C1584" s="252"/>
      <c r="D1584" s="252"/>
    </row>
    <row r="1585" spans="1:4" x14ac:dyDescent="0.35">
      <c r="A1585" s="252" t="s">
        <v>3165</v>
      </c>
      <c r="B1585" s="252"/>
      <c r="C1585" s="252"/>
      <c r="D1585" s="252"/>
    </row>
    <row r="1586" spans="1:4" x14ac:dyDescent="0.35">
      <c r="A1586" s="252" t="s">
        <v>3166</v>
      </c>
      <c r="B1586" s="252"/>
      <c r="C1586" s="252"/>
      <c r="D1586" s="252"/>
    </row>
    <row r="1587" spans="1:4" x14ac:dyDescent="0.35">
      <c r="A1587" s="252" t="s">
        <v>3167</v>
      </c>
      <c r="B1587" s="252"/>
      <c r="C1587" s="252"/>
      <c r="D1587" s="252"/>
    </row>
    <row r="1588" spans="1:4" x14ac:dyDescent="0.35">
      <c r="A1588" s="252" t="s">
        <v>3168</v>
      </c>
      <c r="B1588" s="252"/>
      <c r="C1588" s="252"/>
      <c r="D1588" s="252"/>
    </row>
    <row r="1589" spans="1:4" x14ac:dyDescent="0.35">
      <c r="A1589" s="252" t="s">
        <v>3169</v>
      </c>
      <c r="B1589" s="252" t="s">
        <v>3280</v>
      </c>
      <c r="C1589" s="252"/>
      <c r="D1589" s="252" t="s">
        <v>3279</v>
      </c>
    </row>
    <row r="1590" spans="1:4" x14ac:dyDescent="0.35">
      <c r="A1590" s="252" t="s">
        <v>3170</v>
      </c>
      <c r="B1590" s="252"/>
      <c r="C1590" s="252"/>
      <c r="D1590" s="252"/>
    </row>
    <row r="1591" spans="1:4" x14ac:dyDescent="0.35">
      <c r="A1591" s="252" t="s">
        <v>3171</v>
      </c>
      <c r="B1591" s="252"/>
      <c r="C1591" s="252"/>
      <c r="D1591" s="252"/>
    </row>
    <row r="1592" spans="1:4" x14ac:dyDescent="0.35">
      <c r="A1592" s="252" t="s">
        <v>3172</v>
      </c>
      <c r="B1592" s="252"/>
      <c r="C1592" s="252"/>
      <c r="D1592" s="252"/>
    </row>
    <row r="1593" spans="1:4" x14ac:dyDescent="0.35">
      <c r="A1593" s="252" t="s">
        <v>3173</v>
      </c>
      <c r="B1593" s="252"/>
      <c r="C1593" s="252"/>
      <c r="D1593" s="252"/>
    </row>
    <row r="1594" spans="1:4" x14ac:dyDescent="0.35">
      <c r="A1594" s="252" t="s">
        <v>3174</v>
      </c>
      <c r="B1594" s="252"/>
      <c r="C1594" s="252"/>
      <c r="D1594" s="252"/>
    </row>
    <row r="1595" spans="1:4" x14ac:dyDescent="0.35">
      <c r="A1595" s="252" t="s">
        <v>3175</v>
      </c>
      <c r="B1595" s="252"/>
      <c r="C1595" s="252"/>
      <c r="D1595" s="252"/>
    </row>
    <row r="1596" spans="1:4" x14ac:dyDescent="0.35">
      <c r="A1596" s="252" t="s">
        <v>3176</v>
      </c>
      <c r="B1596" s="252"/>
      <c r="C1596" s="252"/>
      <c r="D1596" s="252"/>
    </row>
    <row r="1597" spans="1:4" x14ac:dyDescent="0.35">
      <c r="A1597" s="252" t="s">
        <v>3177</v>
      </c>
      <c r="B1597" s="252"/>
      <c r="C1597" s="252"/>
      <c r="D1597" s="252"/>
    </row>
    <row r="1598" spans="1:4" x14ac:dyDescent="0.35">
      <c r="A1598" s="252" t="s">
        <v>3178</v>
      </c>
      <c r="B1598" s="252"/>
      <c r="C1598" s="252"/>
      <c r="D1598" s="252"/>
    </row>
    <row r="1599" spans="1:4" x14ac:dyDescent="0.35">
      <c r="A1599" s="252" t="s">
        <v>3179</v>
      </c>
      <c r="B1599" s="252"/>
      <c r="C1599" s="252"/>
      <c r="D1599" s="252"/>
    </row>
    <row r="1600" spans="1:4" x14ac:dyDescent="0.35">
      <c r="A1600" s="252" t="s">
        <v>3180</v>
      </c>
      <c r="B1600" s="252"/>
      <c r="C1600" s="252"/>
      <c r="D1600" s="252"/>
    </row>
    <row r="1601" spans="1:4" x14ac:dyDescent="0.35">
      <c r="A1601" s="252" t="s">
        <v>3181</v>
      </c>
      <c r="B1601" s="252"/>
      <c r="C1601" s="252"/>
      <c r="D1601" s="252"/>
    </row>
    <row r="1602" spans="1:4" x14ac:dyDescent="0.35">
      <c r="A1602" s="252" t="s">
        <v>3182</v>
      </c>
      <c r="B1602" s="252"/>
      <c r="C1602" s="252"/>
      <c r="D1602" s="252"/>
    </row>
    <row r="1603" spans="1:4" x14ac:dyDescent="0.35">
      <c r="A1603" s="252" t="s">
        <v>3183</v>
      </c>
      <c r="B1603" s="252"/>
      <c r="C1603" s="252"/>
      <c r="D1603" s="252"/>
    </row>
    <row r="1604" spans="1:4" x14ac:dyDescent="0.35">
      <c r="A1604" s="252" t="s">
        <v>3184</v>
      </c>
      <c r="B1604" s="252"/>
      <c r="C1604" s="252"/>
      <c r="D1604" s="252"/>
    </row>
    <row r="1605" spans="1:4" x14ac:dyDescent="0.35">
      <c r="A1605" s="252" t="s">
        <v>3185</v>
      </c>
      <c r="B1605" s="252"/>
      <c r="C1605" s="252"/>
      <c r="D1605" s="252"/>
    </row>
    <row r="1606" spans="1:4" x14ac:dyDescent="0.35">
      <c r="A1606" s="252" t="s">
        <v>3186</v>
      </c>
      <c r="B1606" s="252"/>
      <c r="C1606" s="252"/>
      <c r="D1606" s="252"/>
    </row>
    <row r="1607" spans="1:4" x14ac:dyDescent="0.35">
      <c r="A1607" s="252" t="s">
        <v>3187</v>
      </c>
      <c r="B1607" s="252"/>
      <c r="C1607" s="252"/>
      <c r="D1607" s="252"/>
    </row>
    <row r="1608" spans="1:4" x14ac:dyDescent="0.35">
      <c r="A1608" s="252" t="s">
        <v>3188</v>
      </c>
      <c r="B1608" s="252"/>
      <c r="C1608" s="252"/>
      <c r="D1608" s="252"/>
    </row>
    <row r="1609" spans="1:4" x14ac:dyDescent="0.35">
      <c r="A1609" s="252" t="s">
        <v>3189</v>
      </c>
      <c r="B1609" s="252"/>
      <c r="C1609" s="252"/>
      <c r="D1609" s="252"/>
    </row>
    <row r="1610" spans="1:4" x14ac:dyDescent="0.35">
      <c r="A1610" s="252" t="s">
        <v>3190</v>
      </c>
      <c r="B1610" s="252"/>
      <c r="C1610" s="252"/>
      <c r="D1610" s="252"/>
    </row>
    <row r="1611" spans="1:4" x14ac:dyDescent="0.35">
      <c r="A1611" s="252" t="s">
        <v>3191</v>
      </c>
      <c r="B1611" s="252"/>
      <c r="C1611" s="252"/>
      <c r="D1611" s="252"/>
    </row>
    <row r="1612" spans="1:4" x14ac:dyDescent="0.35">
      <c r="A1612" s="252" t="s">
        <v>3192</v>
      </c>
      <c r="B1612" s="252"/>
      <c r="C1612" s="252"/>
      <c r="D1612" s="252"/>
    </row>
    <row r="1613" spans="1:4" x14ac:dyDescent="0.35">
      <c r="A1613" s="252" t="s">
        <v>3193</v>
      </c>
      <c r="B1613" s="252"/>
      <c r="C1613" s="252"/>
      <c r="D1613" s="252"/>
    </row>
    <row r="1614" spans="1:4" x14ac:dyDescent="0.35">
      <c r="A1614" s="252" t="s">
        <v>3194</v>
      </c>
      <c r="B1614" s="252"/>
      <c r="C1614" s="252"/>
      <c r="D1614" s="252"/>
    </row>
    <row r="1615" spans="1:4" x14ac:dyDescent="0.35">
      <c r="A1615" s="252" t="s">
        <v>3195</v>
      </c>
      <c r="B1615" s="252"/>
      <c r="C1615" s="252"/>
      <c r="D1615" s="252"/>
    </row>
    <row r="1616" spans="1:4" x14ac:dyDescent="0.35">
      <c r="A1616" s="252" t="s">
        <v>3196</v>
      </c>
      <c r="B1616" s="252"/>
      <c r="C1616" s="252"/>
      <c r="D1616" s="252"/>
    </row>
    <row r="1617" spans="1:4" x14ac:dyDescent="0.35">
      <c r="A1617" s="252" t="s">
        <v>3197</v>
      </c>
      <c r="B1617" s="252"/>
      <c r="C1617" s="252"/>
      <c r="D1617" s="252"/>
    </row>
    <row r="1618" spans="1:4" x14ac:dyDescent="0.35">
      <c r="A1618" s="252" t="s">
        <v>3198</v>
      </c>
      <c r="B1618" s="252"/>
      <c r="C1618" s="252"/>
      <c r="D1618" s="252"/>
    </row>
    <row r="1619" spans="1:4" x14ac:dyDescent="0.35">
      <c r="A1619" s="252" t="s">
        <v>3199</v>
      </c>
      <c r="B1619" s="252"/>
      <c r="C1619" s="252"/>
      <c r="D1619" s="252"/>
    </row>
    <row r="1620" spans="1:4" x14ac:dyDescent="0.35">
      <c r="A1620" s="252" t="s">
        <v>3200</v>
      </c>
      <c r="B1620" s="252"/>
      <c r="C1620" s="252"/>
      <c r="D1620" s="252"/>
    </row>
    <row r="1621" spans="1:4" x14ac:dyDescent="0.35">
      <c r="A1621" s="252" t="s">
        <v>3201</v>
      </c>
      <c r="B1621" s="252"/>
      <c r="C1621" s="252"/>
      <c r="D1621" s="252"/>
    </row>
    <row r="1622" spans="1:4" x14ac:dyDescent="0.35">
      <c r="A1622" s="252" t="s">
        <v>3202</v>
      </c>
      <c r="B1622" s="252"/>
      <c r="C1622" s="252"/>
      <c r="D1622" s="252"/>
    </row>
    <row r="1623" spans="1:4" x14ac:dyDescent="0.35">
      <c r="A1623" s="252" t="s">
        <v>3203</v>
      </c>
      <c r="B1623" s="252"/>
      <c r="C1623" s="252"/>
      <c r="D1623" s="252"/>
    </row>
    <row r="1624" spans="1:4" x14ac:dyDescent="0.35">
      <c r="A1624" s="252" t="s">
        <v>3204</v>
      </c>
      <c r="B1624" s="252"/>
      <c r="C1624" s="252"/>
      <c r="D1624" s="252"/>
    </row>
    <row r="1625" spans="1:4" x14ac:dyDescent="0.35">
      <c r="A1625" s="252" t="s">
        <v>3205</v>
      </c>
      <c r="B1625" s="252"/>
      <c r="C1625" s="252"/>
      <c r="D1625" s="252"/>
    </row>
    <row r="1626" spans="1:4" x14ac:dyDescent="0.35">
      <c r="A1626" s="252" t="s">
        <v>3206</v>
      </c>
      <c r="B1626" s="252"/>
      <c r="C1626" s="252"/>
      <c r="D1626" s="252"/>
    </row>
    <row r="1627" spans="1:4" x14ac:dyDescent="0.35">
      <c r="A1627" s="252" t="s">
        <v>3207</v>
      </c>
      <c r="B1627" s="252"/>
      <c r="C1627" s="252"/>
      <c r="D1627" s="252"/>
    </row>
    <row r="1628" spans="1:4" x14ac:dyDescent="0.35">
      <c r="A1628" s="252" t="s">
        <v>3208</v>
      </c>
      <c r="B1628" s="252"/>
      <c r="C1628" s="252"/>
      <c r="D1628" s="252"/>
    </row>
    <row r="1629" spans="1:4" x14ac:dyDescent="0.35">
      <c r="A1629" s="252" t="s">
        <v>3209</v>
      </c>
      <c r="B1629" s="252"/>
      <c r="C1629" s="252"/>
      <c r="D1629" s="252"/>
    </row>
    <row r="1630" spans="1:4" x14ac:dyDescent="0.35">
      <c r="A1630" s="252" t="s">
        <v>3210</v>
      </c>
      <c r="B1630" s="252" t="s">
        <v>3272</v>
      </c>
      <c r="C1630" s="252"/>
      <c r="D1630" s="252" t="s">
        <v>3273</v>
      </c>
    </row>
    <row r="1631" spans="1:4" x14ac:dyDescent="0.35">
      <c r="A1631" s="252" t="s">
        <v>3211</v>
      </c>
      <c r="B1631" s="252"/>
      <c r="C1631" s="252"/>
      <c r="D1631" s="252"/>
    </row>
    <row r="1632" spans="1:4" x14ac:dyDescent="0.35">
      <c r="A1632" s="252" t="s">
        <v>3212</v>
      </c>
      <c r="B1632" s="252"/>
      <c r="C1632" s="252"/>
      <c r="D1632" s="252"/>
    </row>
    <row r="1633" spans="1:4" x14ac:dyDescent="0.35">
      <c r="A1633" s="252" t="s">
        <v>3213</v>
      </c>
      <c r="B1633" s="252"/>
      <c r="C1633" s="252"/>
      <c r="D1633" s="252"/>
    </row>
    <row r="1634" spans="1:4" x14ac:dyDescent="0.35">
      <c r="A1634" s="252" t="s">
        <v>3214</v>
      </c>
      <c r="B1634" s="252"/>
      <c r="C1634" s="252"/>
      <c r="D1634" s="252"/>
    </row>
    <row r="1635" spans="1:4" x14ac:dyDescent="0.35">
      <c r="A1635" s="252" t="s">
        <v>3215</v>
      </c>
      <c r="B1635" s="252" t="s">
        <v>3374</v>
      </c>
      <c r="C1635" s="252"/>
      <c r="D1635" s="252" t="s">
        <v>3375</v>
      </c>
    </row>
    <row r="1636" spans="1:4" x14ac:dyDescent="0.35">
      <c r="A1636" s="252" t="s">
        <v>3216</v>
      </c>
      <c r="B1636" s="252"/>
      <c r="C1636" s="252"/>
      <c r="D1636" s="252"/>
    </row>
    <row r="1637" spans="1:4" x14ac:dyDescent="0.35">
      <c r="A1637" s="252" t="s">
        <v>3217</v>
      </c>
      <c r="B1637" s="252"/>
      <c r="C1637" s="252"/>
      <c r="D1637" s="252"/>
    </row>
    <row r="1638" spans="1:4" x14ac:dyDescent="0.35">
      <c r="A1638" s="252" t="s">
        <v>3218</v>
      </c>
      <c r="B1638" s="252"/>
      <c r="C1638" s="252"/>
      <c r="D1638" s="252"/>
    </row>
    <row r="1639" spans="1:4" x14ac:dyDescent="0.35">
      <c r="A1639" s="252" t="s">
        <v>3219</v>
      </c>
      <c r="B1639" s="252"/>
      <c r="C1639" s="252"/>
      <c r="D1639" s="252"/>
    </row>
    <row r="1640" spans="1:4" x14ac:dyDescent="0.35">
      <c r="A1640" s="252" t="s">
        <v>3220</v>
      </c>
      <c r="B1640" s="252"/>
      <c r="C1640" s="252"/>
      <c r="D1640" s="252"/>
    </row>
    <row r="1641" spans="1:4" x14ac:dyDescent="0.35">
      <c r="A1641" s="252" t="s">
        <v>3221</v>
      </c>
      <c r="B1641" s="252"/>
      <c r="C1641" s="252"/>
      <c r="D1641" s="252"/>
    </row>
    <row r="1642" spans="1:4" x14ac:dyDescent="0.35">
      <c r="A1642" s="252" t="s">
        <v>3222</v>
      </c>
      <c r="B1642" s="252"/>
      <c r="C1642" s="252"/>
      <c r="D1642" s="252"/>
    </row>
    <row r="1643" spans="1:4" x14ac:dyDescent="0.35">
      <c r="A1643" s="252" t="s">
        <v>3223</v>
      </c>
      <c r="B1643" s="252"/>
      <c r="C1643" s="252"/>
      <c r="D1643" s="252"/>
    </row>
    <row r="1644" spans="1:4" x14ac:dyDescent="0.35">
      <c r="A1644" s="252" t="s">
        <v>3224</v>
      </c>
      <c r="B1644" s="252"/>
      <c r="C1644" s="252"/>
      <c r="D1644" s="252"/>
    </row>
    <row r="1645" spans="1:4" x14ac:dyDescent="0.35">
      <c r="A1645" s="252" t="s">
        <v>3225</v>
      </c>
      <c r="B1645" s="252"/>
      <c r="C1645" s="252"/>
      <c r="D1645" s="252"/>
    </row>
    <row r="1646" spans="1:4" x14ac:dyDescent="0.35">
      <c r="A1646" s="252" t="s">
        <v>3226</v>
      </c>
      <c r="B1646" s="252"/>
      <c r="C1646" s="252"/>
      <c r="D1646" s="252"/>
    </row>
    <row r="1647" spans="1:4" x14ac:dyDescent="0.35">
      <c r="A1647" s="252" t="s">
        <v>3227</v>
      </c>
      <c r="B1647" s="252"/>
      <c r="C1647" s="252"/>
      <c r="D1647" s="252"/>
    </row>
    <row r="1648" spans="1:4" x14ac:dyDescent="0.35">
      <c r="A1648" s="252" t="s">
        <v>3228</v>
      </c>
      <c r="B1648" s="252"/>
      <c r="C1648" s="252"/>
      <c r="D1648" s="252"/>
    </row>
    <row r="1649" spans="1:4" x14ac:dyDescent="0.35">
      <c r="A1649" s="252" t="s">
        <v>3229</v>
      </c>
      <c r="B1649" s="252"/>
      <c r="C1649" s="252"/>
      <c r="D1649" s="252"/>
    </row>
    <row r="1650" spans="1:4" x14ac:dyDescent="0.35">
      <c r="A1650" s="252" t="s">
        <v>3230</v>
      </c>
      <c r="B1650" s="252"/>
      <c r="C1650" s="252"/>
      <c r="D1650" s="252"/>
    </row>
    <row r="1651" spans="1:4" x14ac:dyDescent="0.35">
      <c r="A1651" s="252" t="s">
        <v>3231</v>
      </c>
      <c r="B1651" s="252"/>
      <c r="C1651" s="252"/>
      <c r="D1651" s="252"/>
    </row>
    <row r="1652" spans="1:4" x14ac:dyDescent="0.35">
      <c r="A1652" s="252" t="s">
        <v>3232</v>
      </c>
      <c r="B1652" s="252"/>
      <c r="C1652" s="252"/>
      <c r="D1652" s="252"/>
    </row>
    <row r="1653" spans="1:4" x14ac:dyDescent="0.35">
      <c r="A1653" s="252" t="s">
        <v>3233</v>
      </c>
      <c r="B1653" s="252"/>
      <c r="C1653" s="252"/>
      <c r="D1653" s="252"/>
    </row>
    <row r="1654" spans="1:4" x14ac:dyDescent="0.35">
      <c r="A1654" s="252" t="s">
        <v>3234</v>
      </c>
      <c r="B1654" s="252"/>
      <c r="C1654" s="252"/>
      <c r="D1654" s="252"/>
    </row>
    <row r="1655" spans="1:4" x14ac:dyDescent="0.35">
      <c r="A1655" s="252" t="s">
        <v>3235</v>
      </c>
      <c r="B1655" s="252"/>
      <c r="C1655" s="252"/>
      <c r="D1655" s="252"/>
    </row>
    <row r="1656" spans="1:4" x14ac:dyDescent="0.35">
      <c r="A1656" s="252" t="s">
        <v>3236</v>
      </c>
      <c r="B1656" s="252"/>
      <c r="C1656" s="252"/>
      <c r="D1656" s="252"/>
    </row>
    <row r="1657" spans="1:4" x14ac:dyDescent="0.35">
      <c r="A1657" s="252" t="s">
        <v>3237</v>
      </c>
      <c r="B1657" s="252"/>
      <c r="C1657" s="252"/>
      <c r="D1657" s="252"/>
    </row>
    <row r="1658" spans="1:4" x14ac:dyDescent="0.35">
      <c r="A1658" s="252" t="s">
        <v>3238</v>
      </c>
      <c r="B1658" s="252"/>
      <c r="C1658" s="252"/>
      <c r="D1658" s="252"/>
    </row>
    <row r="1659" spans="1:4" x14ac:dyDescent="0.35">
      <c r="A1659" s="252" t="s">
        <v>3239</v>
      </c>
      <c r="B1659" s="252"/>
      <c r="C1659" s="252"/>
      <c r="D1659" s="252"/>
    </row>
    <row r="1660" spans="1:4" x14ac:dyDescent="0.35">
      <c r="A1660" s="252" t="s">
        <v>3240</v>
      </c>
      <c r="B1660" s="252"/>
      <c r="C1660" s="252"/>
      <c r="D1660" s="252"/>
    </row>
    <row r="1661" spans="1:4" x14ac:dyDescent="0.35">
      <c r="A1661" s="252" t="s">
        <v>3241</v>
      </c>
      <c r="B1661" s="252"/>
      <c r="C1661" s="252"/>
      <c r="D1661" s="252"/>
    </row>
    <row r="1662" spans="1:4" x14ac:dyDescent="0.35">
      <c r="A1662" s="252" t="s">
        <v>3242</v>
      </c>
      <c r="B1662" s="252"/>
      <c r="C1662" s="252"/>
      <c r="D1662" s="252"/>
    </row>
    <row r="1663" spans="1:4" x14ac:dyDescent="0.35">
      <c r="A1663" s="252" t="s">
        <v>3243</v>
      </c>
      <c r="B1663" s="252"/>
      <c r="C1663" s="252"/>
      <c r="D1663" s="252"/>
    </row>
    <row r="1664" spans="1:4" x14ac:dyDescent="0.35">
      <c r="A1664" s="252" t="s">
        <v>3244</v>
      </c>
      <c r="B1664" s="252"/>
      <c r="C1664" s="252"/>
      <c r="D1664" s="252"/>
    </row>
    <row r="1665" spans="1:4" x14ac:dyDescent="0.35">
      <c r="A1665" s="252" t="s">
        <v>3245</v>
      </c>
      <c r="B1665" s="252"/>
      <c r="C1665" s="252"/>
      <c r="D1665" s="252"/>
    </row>
    <row r="1666" spans="1:4" x14ac:dyDescent="0.35">
      <c r="A1666" s="252" t="s">
        <v>3246</v>
      </c>
      <c r="B1666" s="252"/>
      <c r="C1666" s="252"/>
      <c r="D1666" s="252"/>
    </row>
    <row r="1667" spans="1:4" x14ac:dyDescent="0.35">
      <c r="A1667" s="252" t="s">
        <v>3247</v>
      </c>
      <c r="B1667" s="252"/>
      <c r="C1667" s="252"/>
      <c r="D1667" s="252"/>
    </row>
    <row r="1668" spans="1:4" x14ac:dyDescent="0.35">
      <c r="A1668" s="252" t="s">
        <v>3248</v>
      </c>
      <c r="B1668" s="252"/>
      <c r="C1668" s="252"/>
      <c r="D1668" s="252"/>
    </row>
    <row r="1669" spans="1:4" x14ac:dyDescent="0.35">
      <c r="A1669" s="252" t="s">
        <v>3249</v>
      </c>
      <c r="B1669" s="252"/>
      <c r="C1669" s="252"/>
      <c r="D1669" s="252"/>
    </row>
    <row r="1670" spans="1:4" x14ac:dyDescent="0.35">
      <c r="A1670" s="252" t="s">
        <v>3250</v>
      </c>
      <c r="B1670" s="252"/>
      <c r="C1670" s="252"/>
      <c r="D1670" s="252"/>
    </row>
    <row r="1671" spans="1:4" x14ac:dyDescent="0.35">
      <c r="A1671" s="252" t="s">
        <v>3251</v>
      </c>
      <c r="B1671" s="252"/>
      <c r="C1671" s="252"/>
      <c r="D1671" s="252"/>
    </row>
    <row r="1672" spans="1:4" x14ac:dyDescent="0.35">
      <c r="A1672" s="252" t="s">
        <v>3252</v>
      </c>
      <c r="B1672" s="252"/>
      <c r="C1672" s="252"/>
      <c r="D1672" s="252"/>
    </row>
    <row r="1673" spans="1:4" x14ac:dyDescent="0.35">
      <c r="A1673" s="252" t="s">
        <v>3253</v>
      </c>
      <c r="B1673" s="252"/>
      <c r="C1673" s="252"/>
      <c r="D1673" s="252"/>
    </row>
    <row r="1674" spans="1:4" x14ac:dyDescent="0.35">
      <c r="A1674" s="252" t="s">
        <v>3254</v>
      </c>
      <c r="B1674" s="252"/>
      <c r="C1674" s="252"/>
      <c r="D1674" s="252"/>
    </row>
    <row r="1675" spans="1:4" x14ac:dyDescent="0.35">
      <c r="A1675" s="252" t="s">
        <v>3255</v>
      </c>
      <c r="B1675" s="252"/>
      <c r="C1675" s="252"/>
      <c r="D1675" s="252"/>
    </row>
    <row r="1676" spans="1:4" x14ac:dyDescent="0.35">
      <c r="A1676" s="252" t="s">
        <v>3256</v>
      </c>
      <c r="B1676" s="252"/>
      <c r="C1676" s="252"/>
      <c r="D1676" s="252"/>
    </row>
    <row r="1677" spans="1:4" x14ac:dyDescent="0.35">
      <c r="A1677" s="252" t="s">
        <v>3257</v>
      </c>
      <c r="B1677" s="252"/>
      <c r="C1677" s="252"/>
      <c r="D1677" s="252"/>
    </row>
    <row r="1678" spans="1:4" x14ac:dyDescent="0.35">
      <c r="A1678" s="252" t="s">
        <v>3258</v>
      </c>
      <c r="B1678" s="252"/>
      <c r="C1678" s="252"/>
      <c r="D1678" s="252"/>
    </row>
    <row r="1679" spans="1:4" x14ac:dyDescent="0.35">
      <c r="A1679" s="252" t="s">
        <v>3259</v>
      </c>
      <c r="B1679" s="252"/>
      <c r="C1679" s="252"/>
      <c r="D1679" s="252"/>
    </row>
    <row r="1680" spans="1:4" x14ac:dyDescent="0.35">
      <c r="A1680" s="252" t="s">
        <v>3260</v>
      </c>
      <c r="B1680" s="252"/>
      <c r="C1680" s="252"/>
      <c r="D1680" s="252"/>
    </row>
    <row r="1681" spans="1:5" x14ac:dyDescent="0.35">
      <c r="A1681" s="252" t="s">
        <v>3261</v>
      </c>
      <c r="B1681" s="252"/>
      <c r="C1681" s="252"/>
      <c r="D1681" s="252"/>
    </row>
    <row r="1682" spans="1:5" x14ac:dyDescent="0.35">
      <c r="A1682" s="252" t="s">
        <v>3262</v>
      </c>
      <c r="B1682" s="252"/>
      <c r="C1682" s="252"/>
      <c r="D1682" s="252"/>
    </row>
    <row r="1683" spans="1:5" x14ac:dyDescent="0.35">
      <c r="A1683" s="252" t="s">
        <v>3263</v>
      </c>
      <c r="B1683" s="252"/>
      <c r="C1683" s="252"/>
      <c r="D1683" s="252"/>
    </row>
    <row r="1684" spans="1:5" x14ac:dyDescent="0.35">
      <c r="A1684" s="252" t="s">
        <v>3264</v>
      </c>
      <c r="B1684" s="252"/>
      <c r="C1684" s="252"/>
      <c r="D1684" s="252"/>
    </row>
    <row r="1685" spans="1:5" x14ac:dyDescent="0.35">
      <c r="A1685" s="252" t="s">
        <v>3265</v>
      </c>
      <c r="B1685" s="252"/>
      <c r="C1685" s="252"/>
      <c r="D1685" s="252"/>
    </row>
    <row r="1686" spans="1:5" x14ac:dyDescent="0.35">
      <c r="A1686" s="252" t="s">
        <v>3266</v>
      </c>
      <c r="B1686" s="252"/>
      <c r="C1686" s="252"/>
      <c r="D1686" s="252"/>
    </row>
    <row r="1687" spans="1:5" x14ac:dyDescent="0.35">
      <c r="A1687" s="252" t="s">
        <v>3267</v>
      </c>
      <c r="B1687" s="252"/>
      <c r="C1687" s="252"/>
      <c r="D1687" s="252"/>
    </row>
    <row r="1688" spans="1:5" x14ac:dyDescent="0.35">
      <c r="A1688" s="252" t="s">
        <v>3268</v>
      </c>
      <c r="B1688" s="252"/>
      <c r="C1688" s="252"/>
      <c r="D1688" s="252"/>
    </row>
    <row r="1689" spans="1:5" x14ac:dyDescent="0.35">
      <c r="A1689" s="252" t="s">
        <v>3269</v>
      </c>
      <c r="B1689" s="252"/>
      <c r="C1689" s="252"/>
      <c r="D1689" s="252"/>
      <c r="E1689" s="268"/>
    </row>
    <row r="1690" spans="1:5" x14ac:dyDescent="0.35">
      <c r="A1690" s="252" t="s">
        <v>3281</v>
      </c>
      <c r="B1690" s="252" t="s">
        <v>3283</v>
      </c>
      <c r="C1690" s="252"/>
      <c r="D1690" s="252" t="s">
        <v>3282</v>
      </c>
    </row>
    <row r="1691" spans="1:5" x14ac:dyDescent="0.35">
      <c r="A1691" s="252" t="s">
        <v>3284</v>
      </c>
      <c r="B1691" s="252" t="s">
        <v>3286</v>
      </c>
      <c r="C1691" s="252"/>
      <c r="D1691" s="252" t="s">
        <v>3285</v>
      </c>
    </row>
    <row r="1692" spans="1:5" x14ac:dyDescent="0.35">
      <c r="A1692" s="252" t="s">
        <v>3289</v>
      </c>
      <c r="B1692" s="252" t="s">
        <v>3290</v>
      </c>
      <c r="C1692" s="252"/>
      <c r="D1692" s="252" t="s">
        <v>3291</v>
      </c>
    </row>
    <row r="1693" spans="1:5" x14ac:dyDescent="0.35">
      <c r="A1693" s="252" t="s">
        <v>3294</v>
      </c>
      <c r="B1693" s="252" t="s">
        <v>3293</v>
      </c>
      <c r="C1693" s="252"/>
      <c r="D1693" s="252" t="s">
        <v>3292</v>
      </c>
    </row>
    <row r="1694" spans="1:5" x14ac:dyDescent="0.35">
      <c r="A1694" s="252" t="s">
        <v>3295</v>
      </c>
      <c r="B1694" s="252" t="s">
        <v>3293</v>
      </c>
      <c r="C1694" s="252"/>
      <c r="D1694" s="252" t="s">
        <v>3292</v>
      </c>
    </row>
    <row r="1695" spans="1:5" x14ac:dyDescent="0.35">
      <c r="A1695" s="252" t="s">
        <v>3296</v>
      </c>
      <c r="B1695" s="252" t="s">
        <v>3293</v>
      </c>
      <c r="C1695" s="252"/>
      <c r="D1695" s="252" t="s">
        <v>3292</v>
      </c>
    </row>
    <row r="1696" spans="1:5" x14ac:dyDescent="0.35">
      <c r="A1696" s="252" t="s">
        <v>3297</v>
      </c>
      <c r="B1696" s="252" t="s">
        <v>3293</v>
      </c>
      <c r="C1696" s="252"/>
      <c r="D1696" s="252" t="s">
        <v>3292</v>
      </c>
    </row>
    <row r="1697" spans="1:4" x14ac:dyDescent="0.35">
      <c r="A1697" s="252" t="s">
        <v>3298</v>
      </c>
      <c r="B1697" s="252" t="s">
        <v>3293</v>
      </c>
      <c r="C1697" s="252"/>
      <c r="D1697" s="252" t="s">
        <v>3292</v>
      </c>
    </row>
    <row r="1698" spans="1:4" x14ac:dyDescent="0.35">
      <c r="A1698" s="252" t="s">
        <v>3299</v>
      </c>
      <c r="B1698" s="252" t="s">
        <v>3293</v>
      </c>
      <c r="C1698" s="252"/>
      <c r="D1698" s="252" t="s">
        <v>3292</v>
      </c>
    </row>
    <row r="1699" spans="1:4" x14ac:dyDescent="0.35">
      <c r="A1699" s="252" t="s">
        <v>3300</v>
      </c>
      <c r="B1699" s="252" t="s">
        <v>3293</v>
      </c>
      <c r="C1699" s="252"/>
      <c r="D1699" s="252" t="s">
        <v>3292</v>
      </c>
    </row>
    <row r="1700" spans="1:4" x14ac:dyDescent="0.35">
      <c r="A1700" s="252" t="s">
        <v>3301</v>
      </c>
      <c r="B1700" s="252" t="s">
        <v>3293</v>
      </c>
      <c r="C1700" s="252"/>
      <c r="D1700" s="252" t="s">
        <v>3292</v>
      </c>
    </row>
    <row r="1701" spans="1:4" x14ac:dyDescent="0.35">
      <c r="A1701" s="252" t="s">
        <v>3302</v>
      </c>
      <c r="B1701" s="252" t="s">
        <v>3293</v>
      </c>
      <c r="C1701" s="252"/>
      <c r="D1701" s="252" t="s">
        <v>3292</v>
      </c>
    </row>
    <row r="1702" spans="1:4" x14ac:dyDescent="0.35">
      <c r="A1702" s="252" t="s">
        <v>2797</v>
      </c>
      <c r="B1702" s="252" t="s">
        <v>3293</v>
      </c>
      <c r="C1702" s="252"/>
      <c r="D1702" s="252" t="s">
        <v>3292</v>
      </c>
    </row>
    <row r="1703" spans="1:4" x14ac:dyDescent="0.35">
      <c r="A1703" s="252" t="s">
        <v>3303</v>
      </c>
      <c r="B1703" s="252" t="s">
        <v>3293</v>
      </c>
      <c r="C1703" s="252"/>
      <c r="D1703" s="252" t="s">
        <v>3292</v>
      </c>
    </row>
    <row r="1704" spans="1:4" x14ac:dyDescent="0.35">
      <c r="A1704" s="252" t="s">
        <v>3304</v>
      </c>
      <c r="B1704" s="252" t="s">
        <v>3293</v>
      </c>
      <c r="C1704" s="252"/>
      <c r="D1704" s="252" t="s">
        <v>3292</v>
      </c>
    </row>
    <row r="1705" spans="1:4" x14ac:dyDescent="0.35">
      <c r="A1705" s="252" t="s">
        <v>3305</v>
      </c>
      <c r="B1705" s="252" t="s">
        <v>3293</v>
      </c>
      <c r="C1705" s="252"/>
      <c r="D1705" s="252" t="s">
        <v>3292</v>
      </c>
    </row>
    <row r="1706" spans="1:4" x14ac:dyDescent="0.35">
      <c r="A1706" s="252" t="s">
        <v>3306</v>
      </c>
      <c r="B1706" s="252" t="s">
        <v>3293</v>
      </c>
      <c r="C1706" s="252"/>
      <c r="D1706" s="252" t="s">
        <v>3292</v>
      </c>
    </row>
    <row r="1707" spans="1:4" x14ac:dyDescent="0.35">
      <c r="A1707" s="252" t="s">
        <v>3307</v>
      </c>
      <c r="B1707" s="252" t="s">
        <v>3293</v>
      </c>
      <c r="C1707" s="252"/>
      <c r="D1707" s="252" t="s">
        <v>3292</v>
      </c>
    </row>
    <row r="1708" spans="1:4" x14ac:dyDescent="0.35">
      <c r="A1708" s="252" t="s">
        <v>3308</v>
      </c>
      <c r="B1708" s="252" t="s">
        <v>3293</v>
      </c>
      <c r="C1708" s="252"/>
      <c r="D1708" s="252" t="s">
        <v>3292</v>
      </c>
    </row>
    <row r="1709" spans="1:4" x14ac:dyDescent="0.35">
      <c r="A1709" s="252" t="s">
        <v>3309</v>
      </c>
      <c r="B1709" s="252" t="s">
        <v>3293</v>
      </c>
      <c r="C1709" s="252"/>
      <c r="D1709" s="252" t="s">
        <v>3292</v>
      </c>
    </row>
    <row r="1710" spans="1:4" x14ac:dyDescent="0.35">
      <c r="A1710" s="252" t="s">
        <v>3309</v>
      </c>
      <c r="B1710" s="252" t="s">
        <v>3293</v>
      </c>
      <c r="C1710" s="252"/>
      <c r="D1710" s="252" t="s">
        <v>3292</v>
      </c>
    </row>
    <row r="1711" spans="1:4" x14ac:dyDescent="0.35">
      <c r="A1711" s="252" t="s">
        <v>3310</v>
      </c>
      <c r="B1711" s="252" t="s">
        <v>3293</v>
      </c>
      <c r="C1711" s="252"/>
      <c r="D1711" s="252" t="s">
        <v>3292</v>
      </c>
    </row>
    <row r="1712" spans="1:4" x14ac:dyDescent="0.35">
      <c r="A1712" s="252" t="s">
        <v>3311</v>
      </c>
      <c r="B1712" s="252" t="s">
        <v>3293</v>
      </c>
      <c r="C1712" s="252"/>
      <c r="D1712" s="252" t="s">
        <v>3292</v>
      </c>
    </row>
    <row r="1713" spans="1:4" x14ac:dyDescent="0.35">
      <c r="A1713" s="252" t="s">
        <v>3312</v>
      </c>
      <c r="B1713" s="252" t="s">
        <v>3293</v>
      </c>
      <c r="C1713" s="252"/>
      <c r="D1713" s="252" t="s">
        <v>3292</v>
      </c>
    </row>
    <row r="1714" spans="1:4" x14ac:dyDescent="0.35">
      <c r="A1714" s="252" t="s">
        <v>2840</v>
      </c>
      <c r="B1714" s="252" t="s">
        <v>3293</v>
      </c>
      <c r="C1714" s="252"/>
      <c r="D1714" s="252" t="s">
        <v>3292</v>
      </c>
    </row>
    <row r="1715" spans="1:4" x14ac:dyDescent="0.35">
      <c r="A1715" s="252" t="s">
        <v>3313</v>
      </c>
      <c r="B1715" s="252" t="s">
        <v>3293</v>
      </c>
      <c r="C1715" s="252"/>
      <c r="D1715" s="252" t="s">
        <v>3292</v>
      </c>
    </row>
    <row r="1716" spans="1:4" x14ac:dyDescent="0.35">
      <c r="A1716" s="252" t="s">
        <v>3314</v>
      </c>
      <c r="B1716" s="252" t="s">
        <v>3293</v>
      </c>
      <c r="C1716" s="252"/>
      <c r="D1716" s="252" t="s">
        <v>3292</v>
      </c>
    </row>
    <row r="1717" spans="1:4" x14ac:dyDescent="0.35">
      <c r="A1717" s="252" t="s">
        <v>3315</v>
      </c>
      <c r="B1717" s="252" t="s">
        <v>3293</v>
      </c>
      <c r="C1717" s="252"/>
      <c r="D1717" s="252" t="s">
        <v>3292</v>
      </c>
    </row>
    <row r="1718" spans="1:4" x14ac:dyDescent="0.35">
      <c r="A1718" s="252" t="s">
        <v>3316</v>
      </c>
      <c r="B1718" s="252" t="s">
        <v>3293</v>
      </c>
      <c r="C1718" s="252"/>
      <c r="D1718" s="252" t="s">
        <v>3292</v>
      </c>
    </row>
    <row r="1719" spans="1:4" x14ac:dyDescent="0.35">
      <c r="A1719" s="252" t="s">
        <v>3317</v>
      </c>
      <c r="B1719" s="252" t="s">
        <v>3293</v>
      </c>
      <c r="C1719" s="252"/>
      <c r="D1719" s="252" t="s">
        <v>3292</v>
      </c>
    </row>
    <row r="1720" spans="1:4" x14ac:dyDescent="0.35">
      <c r="A1720" s="252" t="s">
        <v>3318</v>
      </c>
      <c r="B1720" s="252" t="s">
        <v>3293</v>
      </c>
      <c r="C1720" s="252"/>
      <c r="D1720" s="252" t="s">
        <v>3292</v>
      </c>
    </row>
    <row r="1721" spans="1:4" x14ac:dyDescent="0.35">
      <c r="A1721" s="252" t="s">
        <v>3319</v>
      </c>
      <c r="B1721" s="252" t="s">
        <v>3293</v>
      </c>
      <c r="C1721" s="252"/>
      <c r="D1721" s="252" t="s">
        <v>3292</v>
      </c>
    </row>
    <row r="1722" spans="1:4" x14ac:dyDescent="0.35">
      <c r="A1722" s="252" t="s">
        <v>3320</v>
      </c>
      <c r="B1722" s="252" t="s">
        <v>3293</v>
      </c>
      <c r="C1722" s="252"/>
      <c r="D1722" s="252" t="s">
        <v>3292</v>
      </c>
    </row>
    <row r="1723" spans="1:4" x14ac:dyDescent="0.35">
      <c r="A1723" s="252" t="s">
        <v>3321</v>
      </c>
      <c r="B1723" s="252" t="s">
        <v>3293</v>
      </c>
      <c r="C1723" s="252"/>
      <c r="D1723" s="252" t="s">
        <v>3292</v>
      </c>
    </row>
    <row r="1724" spans="1:4" x14ac:dyDescent="0.35">
      <c r="A1724" s="252" t="s">
        <v>3322</v>
      </c>
      <c r="B1724" s="252" t="s">
        <v>3293</v>
      </c>
      <c r="C1724" s="252"/>
      <c r="D1724" s="252" t="s">
        <v>3292</v>
      </c>
    </row>
    <row r="1725" spans="1:4" x14ac:dyDescent="0.35">
      <c r="A1725" s="252" t="s">
        <v>3323</v>
      </c>
      <c r="B1725" s="252" t="s">
        <v>3293</v>
      </c>
      <c r="C1725" s="252"/>
      <c r="D1725" s="252" t="s">
        <v>3292</v>
      </c>
    </row>
    <row r="1726" spans="1:4" x14ac:dyDescent="0.35">
      <c r="A1726" s="252" t="s">
        <v>3324</v>
      </c>
      <c r="B1726" s="252" t="s">
        <v>3293</v>
      </c>
      <c r="C1726" s="252"/>
      <c r="D1726" s="252" t="s">
        <v>3292</v>
      </c>
    </row>
    <row r="1727" spans="1:4" x14ac:dyDescent="0.35">
      <c r="A1727" s="252" t="s">
        <v>3325</v>
      </c>
      <c r="B1727" s="252" t="s">
        <v>3293</v>
      </c>
      <c r="C1727" s="252"/>
      <c r="D1727" s="252" t="s">
        <v>3292</v>
      </c>
    </row>
    <row r="1728" spans="1:4" x14ac:dyDescent="0.35">
      <c r="A1728" s="252" t="s">
        <v>3326</v>
      </c>
      <c r="B1728" s="252" t="s">
        <v>3293</v>
      </c>
      <c r="C1728" s="252"/>
      <c r="D1728" s="252" t="s">
        <v>3292</v>
      </c>
    </row>
    <row r="1729" spans="1:4" x14ac:dyDescent="0.35">
      <c r="A1729" s="252" t="s">
        <v>3327</v>
      </c>
      <c r="B1729" s="252" t="s">
        <v>3293</v>
      </c>
      <c r="C1729" s="252"/>
      <c r="D1729" s="252" t="s">
        <v>3292</v>
      </c>
    </row>
    <row r="1730" spans="1:4" x14ac:dyDescent="0.35">
      <c r="A1730" s="252" t="s">
        <v>3328</v>
      </c>
      <c r="B1730" s="252" t="s">
        <v>3293</v>
      </c>
      <c r="C1730" s="252"/>
      <c r="D1730" s="252" t="s">
        <v>3292</v>
      </c>
    </row>
    <row r="1731" spans="1:4" x14ac:dyDescent="0.35">
      <c r="A1731" s="263" t="s">
        <v>3329</v>
      </c>
      <c r="B1731" s="252" t="s">
        <v>3293</v>
      </c>
      <c r="C1731" s="252"/>
      <c r="D1731" s="252" t="s">
        <v>3292</v>
      </c>
    </row>
    <row r="1732" spans="1:4" x14ac:dyDescent="0.35">
      <c r="A1732" s="263" t="s">
        <v>3330</v>
      </c>
      <c r="B1732" s="252" t="s">
        <v>3293</v>
      </c>
      <c r="C1732" s="252"/>
      <c r="D1732" s="252" t="s">
        <v>3292</v>
      </c>
    </row>
    <row r="1733" spans="1:4" x14ac:dyDescent="0.35">
      <c r="A1733" s="263" t="s">
        <v>2863</v>
      </c>
      <c r="B1733" s="252" t="s">
        <v>3293</v>
      </c>
      <c r="C1733" s="252"/>
      <c r="D1733" s="252" t="s">
        <v>3292</v>
      </c>
    </row>
    <row r="1734" spans="1:4" x14ac:dyDescent="0.35">
      <c r="A1734" s="263" t="s">
        <v>3331</v>
      </c>
      <c r="B1734" s="252" t="s">
        <v>3293</v>
      </c>
      <c r="C1734" s="252"/>
      <c r="D1734" s="252" t="s">
        <v>3292</v>
      </c>
    </row>
    <row r="1735" spans="1:4" x14ac:dyDescent="0.35">
      <c r="A1735" s="263" t="s">
        <v>3332</v>
      </c>
      <c r="B1735" s="252" t="s">
        <v>3293</v>
      </c>
      <c r="C1735" s="252"/>
      <c r="D1735" s="252" t="s">
        <v>3292</v>
      </c>
    </row>
    <row r="1736" spans="1:4" x14ac:dyDescent="0.35">
      <c r="A1736" s="263" t="s">
        <v>3333</v>
      </c>
      <c r="B1736" s="252" t="s">
        <v>3293</v>
      </c>
      <c r="C1736" s="252"/>
      <c r="D1736" s="252" t="s">
        <v>3292</v>
      </c>
    </row>
    <row r="1737" spans="1:4" x14ac:dyDescent="0.35">
      <c r="A1737" s="263" t="s">
        <v>3334</v>
      </c>
      <c r="B1737" s="252" t="s">
        <v>3293</v>
      </c>
      <c r="C1737" s="252"/>
      <c r="D1737" s="252" t="s">
        <v>3292</v>
      </c>
    </row>
    <row r="1738" spans="1:4" x14ac:dyDescent="0.35">
      <c r="A1738" s="263" t="s">
        <v>3335</v>
      </c>
      <c r="B1738" s="252" t="s">
        <v>3293</v>
      </c>
      <c r="C1738" s="252"/>
      <c r="D1738" s="252" t="s">
        <v>3292</v>
      </c>
    </row>
    <row r="1739" spans="1:4" x14ac:dyDescent="0.35">
      <c r="A1739" s="263" t="s">
        <v>3336</v>
      </c>
      <c r="B1739" s="252" t="s">
        <v>3293</v>
      </c>
      <c r="C1739" s="252"/>
      <c r="D1739" s="252" t="s">
        <v>3292</v>
      </c>
    </row>
    <row r="1740" spans="1:4" x14ac:dyDescent="0.35">
      <c r="A1740" s="263" t="s">
        <v>3337</v>
      </c>
      <c r="B1740" s="252" t="s">
        <v>3293</v>
      </c>
      <c r="C1740" s="252"/>
      <c r="D1740" s="252" t="s">
        <v>3292</v>
      </c>
    </row>
    <row r="1741" spans="1:4" x14ac:dyDescent="0.35">
      <c r="A1741" s="263" t="s">
        <v>3338</v>
      </c>
      <c r="B1741" s="252" t="s">
        <v>3293</v>
      </c>
      <c r="C1741" s="252"/>
      <c r="D1741" s="252" t="s">
        <v>3292</v>
      </c>
    </row>
    <row r="1742" spans="1:4" x14ac:dyDescent="0.35">
      <c r="A1742" s="263" t="s">
        <v>3339</v>
      </c>
      <c r="B1742" s="252" t="s">
        <v>3293</v>
      </c>
      <c r="C1742" s="252"/>
      <c r="D1742" s="252" t="s">
        <v>3292</v>
      </c>
    </row>
    <row r="1743" spans="1:4" x14ac:dyDescent="0.35">
      <c r="A1743" s="263" t="s">
        <v>3340</v>
      </c>
      <c r="B1743" s="252" t="s">
        <v>3293</v>
      </c>
      <c r="C1743" s="252"/>
      <c r="D1743" s="252" t="s">
        <v>3292</v>
      </c>
    </row>
    <row r="1744" spans="1:4" x14ac:dyDescent="0.35">
      <c r="A1744" s="263" t="s">
        <v>3341</v>
      </c>
      <c r="B1744" s="252" t="s">
        <v>3293</v>
      </c>
      <c r="C1744" s="252"/>
      <c r="D1744" s="252" t="s">
        <v>3292</v>
      </c>
    </row>
    <row r="1745" spans="1:4" x14ac:dyDescent="0.35">
      <c r="A1745" s="263" t="s">
        <v>3342</v>
      </c>
      <c r="B1745" s="252" t="s">
        <v>3293</v>
      </c>
      <c r="C1745" s="252"/>
      <c r="D1745" s="252" t="s">
        <v>3292</v>
      </c>
    </row>
    <row r="1746" spans="1:4" x14ac:dyDescent="0.35">
      <c r="A1746" s="263" t="s">
        <v>3343</v>
      </c>
      <c r="B1746" s="252" t="s">
        <v>3293</v>
      </c>
      <c r="C1746" s="252"/>
      <c r="D1746" s="252" t="s">
        <v>3292</v>
      </c>
    </row>
    <row r="1747" spans="1:4" x14ac:dyDescent="0.35">
      <c r="A1747" s="263" t="s">
        <v>3344</v>
      </c>
      <c r="B1747" s="252" t="s">
        <v>3293</v>
      </c>
      <c r="C1747" s="252"/>
      <c r="D1747" s="252" t="s">
        <v>3292</v>
      </c>
    </row>
    <row r="1748" spans="1:4" x14ac:dyDescent="0.35">
      <c r="A1748" s="263" t="s">
        <v>3345</v>
      </c>
      <c r="B1748" s="252" t="s">
        <v>3293</v>
      </c>
      <c r="C1748" s="252"/>
      <c r="D1748" s="252" t="s">
        <v>3292</v>
      </c>
    </row>
    <row r="1749" spans="1:4" x14ac:dyDescent="0.35">
      <c r="A1749" s="263" t="s">
        <v>3346</v>
      </c>
      <c r="B1749" s="252" t="s">
        <v>3293</v>
      </c>
      <c r="C1749" s="252"/>
      <c r="D1749" s="252" t="s">
        <v>3292</v>
      </c>
    </row>
    <row r="1750" spans="1:4" x14ac:dyDescent="0.35">
      <c r="A1750" s="263" t="s">
        <v>3347</v>
      </c>
      <c r="B1750" s="252" t="s">
        <v>3293</v>
      </c>
      <c r="C1750" s="252"/>
      <c r="D1750" s="252" t="s">
        <v>3292</v>
      </c>
    </row>
    <row r="1751" spans="1:4" x14ac:dyDescent="0.35">
      <c r="A1751" s="263" t="s">
        <v>3348</v>
      </c>
      <c r="B1751" s="252" t="s">
        <v>3293</v>
      </c>
      <c r="C1751" s="252"/>
      <c r="D1751" s="252" t="s">
        <v>3292</v>
      </c>
    </row>
    <row r="1752" spans="1:4" x14ac:dyDescent="0.35">
      <c r="A1752" s="263" t="s">
        <v>3349</v>
      </c>
      <c r="B1752" s="252" t="s">
        <v>3293</v>
      </c>
      <c r="C1752" s="252"/>
      <c r="D1752" s="252" t="s">
        <v>3292</v>
      </c>
    </row>
    <row r="1753" spans="1:4" x14ac:dyDescent="0.35">
      <c r="A1753" s="263" t="s">
        <v>3350</v>
      </c>
      <c r="B1753" s="252" t="s">
        <v>3293</v>
      </c>
      <c r="C1753" s="252"/>
      <c r="D1753" s="252" t="s">
        <v>3292</v>
      </c>
    </row>
    <row r="1754" spans="1:4" x14ac:dyDescent="0.35">
      <c r="A1754" s="263" t="s">
        <v>2880</v>
      </c>
      <c r="B1754" s="252" t="s">
        <v>3293</v>
      </c>
      <c r="C1754" s="252"/>
      <c r="D1754" s="252" t="s">
        <v>3292</v>
      </c>
    </row>
    <row r="1755" spans="1:4" x14ac:dyDescent="0.35">
      <c r="A1755" s="263" t="s">
        <v>3351</v>
      </c>
      <c r="B1755" s="252" t="s">
        <v>3293</v>
      </c>
      <c r="C1755" s="252"/>
      <c r="D1755" s="252" t="s">
        <v>3292</v>
      </c>
    </row>
    <row r="1756" spans="1:4" x14ac:dyDescent="0.35">
      <c r="A1756" s="263" t="s">
        <v>3352</v>
      </c>
      <c r="B1756" s="252" t="s">
        <v>3293</v>
      </c>
      <c r="C1756" s="252"/>
      <c r="D1756" s="252" t="s">
        <v>3292</v>
      </c>
    </row>
    <row r="1757" spans="1:4" x14ac:dyDescent="0.35">
      <c r="A1757" s="263" t="s">
        <v>3353</v>
      </c>
      <c r="B1757" s="252" t="s">
        <v>3293</v>
      </c>
      <c r="C1757" s="252"/>
      <c r="D1757" s="252" t="s">
        <v>3292</v>
      </c>
    </row>
    <row r="1758" spans="1:4" x14ac:dyDescent="0.35">
      <c r="A1758" s="263" t="s">
        <v>3354</v>
      </c>
      <c r="B1758" s="252" t="s">
        <v>3293</v>
      </c>
      <c r="C1758" s="252"/>
      <c r="D1758" s="252" t="s">
        <v>3292</v>
      </c>
    </row>
    <row r="1759" spans="1:4" x14ac:dyDescent="0.35">
      <c r="A1759" s="263" t="s">
        <v>3355</v>
      </c>
      <c r="B1759" s="252" t="s">
        <v>3293</v>
      </c>
      <c r="C1759" s="252"/>
      <c r="D1759" s="252" t="s">
        <v>3292</v>
      </c>
    </row>
    <row r="1760" spans="1:4" x14ac:dyDescent="0.35">
      <c r="A1760" s="263" t="s">
        <v>3356</v>
      </c>
      <c r="B1760" s="252" t="s">
        <v>3293</v>
      </c>
      <c r="C1760" s="252"/>
      <c r="D1760" s="252" t="s">
        <v>3292</v>
      </c>
    </row>
    <row r="1761" spans="1:4" x14ac:dyDescent="0.35">
      <c r="A1761" s="263" t="s">
        <v>3357</v>
      </c>
      <c r="B1761" s="252" t="s">
        <v>3293</v>
      </c>
      <c r="C1761" s="252"/>
      <c r="D1761" s="252" t="s">
        <v>3292</v>
      </c>
    </row>
    <row r="1762" spans="1:4" x14ac:dyDescent="0.35">
      <c r="A1762" s="263" t="s">
        <v>3358</v>
      </c>
      <c r="B1762" s="252" t="s">
        <v>3293</v>
      </c>
      <c r="C1762" s="252"/>
      <c r="D1762" s="252" t="s">
        <v>3292</v>
      </c>
    </row>
    <row r="1763" spans="1:4" x14ac:dyDescent="0.35">
      <c r="A1763" s="263" t="s">
        <v>3359</v>
      </c>
      <c r="B1763" s="252" t="s">
        <v>3293</v>
      </c>
      <c r="C1763" s="252"/>
      <c r="D1763" s="252" t="s">
        <v>3292</v>
      </c>
    </row>
    <row r="1764" spans="1:4" x14ac:dyDescent="0.35">
      <c r="A1764" s="263" t="s">
        <v>3360</v>
      </c>
      <c r="B1764" s="252" t="s">
        <v>3293</v>
      </c>
      <c r="C1764" s="252"/>
      <c r="D1764" s="252" t="s">
        <v>3292</v>
      </c>
    </row>
    <row r="1765" spans="1:4" x14ac:dyDescent="0.35">
      <c r="A1765" s="263" t="s">
        <v>3361</v>
      </c>
      <c r="B1765" s="252" t="s">
        <v>3293</v>
      </c>
      <c r="C1765" s="252"/>
      <c r="D1765" s="252" t="s">
        <v>3292</v>
      </c>
    </row>
    <row r="1766" spans="1:4" x14ac:dyDescent="0.35">
      <c r="A1766" s="263" t="s">
        <v>3362</v>
      </c>
      <c r="B1766" s="252" t="s">
        <v>3293</v>
      </c>
      <c r="C1766" s="252"/>
      <c r="D1766" s="252" t="s">
        <v>3292</v>
      </c>
    </row>
    <row r="1767" spans="1:4" x14ac:dyDescent="0.35">
      <c r="A1767" s="263" t="s">
        <v>2911</v>
      </c>
      <c r="B1767" s="252" t="s">
        <v>3293</v>
      </c>
      <c r="C1767" s="252"/>
      <c r="D1767" s="252" t="s">
        <v>3292</v>
      </c>
    </row>
    <row r="1768" spans="1:4" x14ac:dyDescent="0.35">
      <c r="A1768" s="263" t="s">
        <v>3363</v>
      </c>
      <c r="B1768" s="252" t="s">
        <v>3293</v>
      </c>
      <c r="C1768" s="252"/>
      <c r="D1768" s="252" t="s">
        <v>3292</v>
      </c>
    </row>
    <row r="1769" spans="1:4" x14ac:dyDescent="0.35">
      <c r="A1769" s="263" t="s">
        <v>3364</v>
      </c>
      <c r="B1769" s="252" t="s">
        <v>3293</v>
      </c>
      <c r="C1769" s="252"/>
      <c r="D1769" s="252" t="s">
        <v>3292</v>
      </c>
    </row>
    <row r="1770" spans="1:4" x14ac:dyDescent="0.35">
      <c r="A1770" s="263" t="s">
        <v>3365</v>
      </c>
      <c r="B1770" s="252" t="s">
        <v>3293</v>
      </c>
      <c r="C1770" s="252"/>
      <c r="D1770" s="252" t="s">
        <v>3292</v>
      </c>
    </row>
    <row r="1771" spans="1:4" x14ac:dyDescent="0.35">
      <c r="A1771" s="263" t="s">
        <v>3366</v>
      </c>
      <c r="B1771" s="252" t="s">
        <v>3293</v>
      </c>
      <c r="C1771" s="252"/>
      <c r="D1771" s="252" t="s">
        <v>3292</v>
      </c>
    </row>
    <row r="1772" spans="1:4" x14ac:dyDescent="0.35">
      <c r="A1772" s="263" t="s">
        <v>3367</v>
      </c>
      <c r="B1772" s="252" t="s">
        <v>3293</v>
      </c>
      <c r="C1772" s="252"/>
      <c r="D1772" s="252" t="s">
        <v>3292</v>
      </c>
    </row>
    <row r="1773" spans="1:4" x14ac:dyDescent="0.35">
      <c r="A1773" s="263" t="s">
        <v>3368</v>
      </c>
      <c r="B1773" s="252" t="s">
        <v>3293</v>
      </c>
      <c r="C1773" s="252"/>
      <c r="D1773" s="252" t="s">
        <v>3292</v>
      </c>
    </row>
    <row r="1774" spans="1:4" x14ac:dyDescent="0.35">
      <c r="A1774" s="263" t="s">
        <v>2928</v>
      </c>
      <c r="B1774" s="252" t="s">
        <v>3293</v>
      </c>
      <c r="C1774" s="252"/>
      <c r="D1774" s="252" t="s">
        <v>3292</v>
      </c>
    </row>
    <row r="1775" spans="1:4" x14ac:dyDescent="0.35">
      <c r="A1775" s="263" t="s">
        <v>3005</v>
      </c>
      <c r="B1775" s="252" t="s">
        <v>3293</v>
      </c>
      <c r="C1775" s="252"/>
      <c r="D1775" s="252" t="s">
        <v>3292</v>
      </c>
    </row>
    <row r="1776" spans="1:4" x14ac:dyDescent="0.35">
      <c r="A1776" s="263" t="s">
        <v>3369</v>
      </c>
      <c r="B1776" s="252" t="s">
        <v>3293</v>
      </c>
      <c r="C1776" s="252"/>
      <c r="D1776" s="252" t="s">
        <v>3292</v>
      </c>
    </row>
    <row r="1777" spans="1:4" x14ac:dyDescent="0.35">
      <c r="A1777" s="263" t="s">
        <v>3370</v>
      </c>
      <c r="B1777" s="252" t="s">
        <v>3293</v>
      </c>
      <c r="C1777" s="252"/>
      <c r="D1777" s="252" t="s">
        <v>3292</v>
      </c>
    </row>
    <row r="1778" spans="1:4" x14ac:dyDescent="0.35">
      <c r="A1778" s="252" t="s">
        <v>3371</v>
      </c>
      <c r="B1778" s="252" t="s">
        <v>3372</v>
      </c>
      <c r="C1778" s="252"/>
      <c r="D1778" s="252" t="s">
        <v>3373</v>
      </c>
    </row>
    <row r="1779" spans="1:4" x14ac:dyDescent="0.35">
      <c r="A1779" s="252" t="s">
        <v>2771</v>
      </c>
      <c r="B1779" s="252" t="s">
        <v>3378</v>
      </c>
      <c r="C1779" s="252"/>
      <c r="D1779" s="252" t="s">
        <v>3377</v>
      </c>
    </row>
    <row r="1780" spans="1:4" x14ac:dyDescent="0.35">
      <c r="A1780" s="252" t="s">
        <v>2771</v>
      </c>
      <c r="B1780" s="252" t="s">
        <v>3379</v>
      </c>
      <c r="C1780" s="252"/>
      <c r="D1780" s="252" t="s">
        <v>3380</v>
      </c>
    </row>
    <row r="1781" spans="1:4" x14ac:dyDescent="0.35">
      <c r="A1781" s="252" t="s">
        <v>3385</v>
      </c>
      <c r="B1781" s="252" t="s">
        <v>3386</v>
      </c>
      <c r="C1781" s="252"/>
      <c r="D1781" s="252" t="s">
        <v>3387</v>
      </c>
    </row>
  </sheetData>
  <autoFilter ref="A3:D1781" xr:uid="{32EAC793-222A-44D9-A007-827376E0A4F9}"/>
  <mergeCells count="2">
    <mergeCell ref="A1:D1"/>
    <mergeCell ref="A2:D2"/>
  </mergeCells>
  <dataValidations count="2">
    <dataValidation type="custom" allowBlank="1" showInputMessage="1" showErrorMessage="1" errorTitle="Validação NCM" error="Informe exatamente 8 dígitos numéricos sem pontos, traços ou qualquer outro tipo de caracter._x000a_Exemplo:  27160000 " sqref="A4:B12" xr:uid="{3AE27BD9-5C34-4ED7-BB19-D38DE1104FBF}">
      <formula1>AND(NOT(ISERROR(VALUE(#REF!))),LEN(TEXT(#REF!,"0"))=8)</formula1>
    </dataValidation>
    <dataValidation type="custom" allowBlank="1" showInputMessage="1" showErrorMessage="1" errorTitle="Validação NCM" error="Informe exatamente 8 dígitos numéricos sem pontos, traços ou qualquer outro tipo de caracter._x000a_Exemplo:  27160000 " sqref="A13:B100" xr:uid="{EB24D08F-9EE6-47E8-9AEC-573226608BE5}">
      <formula1>AND(NOT(ISERROR(VALUE(A4))),LEN(TEXT(A4,"0"))=8)</formula1>
    </dataValidation>
  </dataValidations>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A71BA-0A8F-42D8-AF94-9773F2AE8185}">
  <dimension ref="A1:D1165"/>
  <sheetViews>
    <sheetView topLeftCell="A1123" zoomScale="80" zoomScaleNormal="80" workbookViewId="0">
      <selection activeCell="G1135" sqref="G1135"/>
    </sheetView>
  </sheetViews>
  <sheetFormatPr defaultColWidth="9.453125" defaultRowHeight="14.5" x14ac:dyDescent="0.35"/>
  <cols>
    <col min="1" max="1" width="66.54296875" style="269" customWidth="1"/>
    <col min="2" max="2" width="66.54296875" style="216" customWidth="1"/>
    <col min="3" max="3" width="5.453125" style="216" bestFit="1" customWidth="1"/>
    <col min="4" max="4" width="69.08984375" style="216" customWidth="1"/>
    <col min="5" max="16384" width="9.453125" style="216"/>
  </cols>
  <sheetData>
    <row r="1" spans="1:4" s="78" customFormat="1" ht="80.150000000000006" customHeight="1" x14ac:dyDescent="0.35">
      <c r="A1" s="271" t="s">
        <v>36</v>
      </c>
      <c r="B1" s="271"/>
      <c r="C1" s="271"/>
      <c r="D1" s="271"/>
    </row>
    <row r="2" spans="1:4" s="78" customFormat="1" ht="50.15" customHeight="1" x14ac:dyDescent="0.35">
      <c r="A2" s="283" t="s">
        <v>142</v>
      </c>
      <c r="B2" s="283"/>
      <c r="C2" s="283"/>
      <c r="D2" s="283"/>
    </row>
    <row r="3" spans="1:4" ht="20.149999999999999" customHeight="1" x14ac:dyDescent="0.35">
      <c r="A3" s="253" t="s">
        <v>143</v>
      </c>
      <c r="B3" s="253" t="s">
        <v>144</v>
      </c>
      <c r="C3" s="253" t="s">
        <v>145</v>
      </c>
      <c r="D3" s="253" t="s">
        <v>146</v>
      </c>
    </row>
    <row r="4" spans="1:4" ht="20.25" customHeight="1" x14ac:dyDescent="0.35">
      <c r="A4" s="264">
        <v>29053100</v>
      </c>
      <c r="B4" s="252" t="s">
        <v>3389</v>
      </c>
      <c r="C4" s="252"/>
      <c r="D4" s="252"/>
    </row>
    <row r="5" spans="1:4" ht="20.25" customHeight="1" x14ac:dyDescent="0.35">
      <c r="A5" s="264">
        <v>73101090</v>
      </c>
      <c r="B5" s="252" t="s">
        <v>3390</v>
      </c>
      <c r="C5" s="252"/>
      <c r="D5" s="252"/>
    </row>
    <row r="6" spans="1:4" ht="20.25" customHeight="1" x14ac:dyDescent="0.35">
      <c r="A6" s="264">
        <v>34029019</v>
      </c>
      <c r="B6" s="252" t="s">
        <v>3391</v>
      </c>
      <c r="C6" s="252"/>
      <c r="D6" s="252"/>
    </row>
    <row r="7" spans="1:4" ht="20.25" customHeight="1" x14ac:dyDescent="0.35">
      <c r="A7" s="264">
        <v>73101090</v>
      </c>
      <c r="B7" s="252" t="s">
        <v>3392</v>
      </c>
      <c r="C7" s="252"/>
      <c r="D7" s="252"/>
    </row>
    <row r="8" spans="1:4" ht="20.25" customHeight="1" x14ac:dyDescent="0.35">
      <c r="A8" s="264">
        <v>73110000</v>
      </c>
      <c r="B8" s="252" t="s">
        <v>3392</v>
      </c>
      <c r="C8" s="252"/>
      <c r="D8" s="252"/>
    </row>
    <row r="9" spans="1:4" ht="20.25" customHeight="1" x14ac:dyDescent="0.35">
      <c r="A9" s="264">
        <v>15153000</v>
      </c>
      <c r="B9" s="252" t="s">
        <v>3393</v>
      </c>
      <c r="C9" s="252"/>
      <c r="D9" s="252"/>
    </row>
    <row r="10" spans="1:4" ht="20.25" customHeight="1" x14ac:dyDescent="0.35">
      <c r="A10" s="264">
        <v>27101931</v>
      </c>
      <c r="B10" s="252" t="s">
        <v>3393</v>
      </c>
      <c r="C10" s="252"/>
      <c r="D10" s="252"/>
    </row>
    <row r="11" spans="1:4" ht="20.25" customHeight="1" x14ac:dyDescent="0.35">
      <c r="A11" s="264">
        <v>34042010</v>
      </c>
      <c r="B11" s="252" t="s">
        <v>3393</v>
      </c>
      <c r="C11" s="252"/>
      <c r="D11" s="252"/>
    </row>
    <row r="12" spans="1:4" ht="20.25" customHeight="1" x14ac:dyDescent="0.35">
      <c r="A12" s="264">
        <v>38249929</v>
      </c>
      <c r="B12" s="252" t="s">
        <v>3393</v>
      </c>
      <c r="C12" s="252"/>
      <c r="D12" s="252"/>
    </row>
    <row r="13" spans="1:4" ht="20.25" customHeight="1" x14ac:dyDescent="0.35">
      <c r="A13" s="264">
        <v>38249989</v>
      </c>
      <c r="B13" s="252" t="s">
        <v>3393</v>
      </c>
      <c r="C13" s="252"/>
      <c r="D13" s="252"/>
    </row>
    <row r="14" spans="1:4" ht="20.25" customHeight="1" x14ac:dyDescent="0.35">
      <c r="A14" s="264">
        <v>84138100</v>
      </c>
      <c r="B14" s="252" t="s">
        <v>3394</v>
      </c>
      <c r="C14" s="252"/>
      <c r="D14" s="252"/>
    </row>
    <row r="15" spans="1:4" ht="20.25" customHeight="1" x14ac:dyDescent="0.35">
      <c r="A15" s="264">
        <v>84433299</v>
      </c>
      <c r="B15" s="252" t="s">
        <v>3394</v>
      </c>
      <c r="C15" s="252"/>
      <c r="D15" s="252"/>
    </row>
    <row r="16" spans="1:4" ht="20.25" customHeight="1" x14ac:dyDescent="0.35">
      <c r="A16" s="264">
        <v>84713019</v>
      </c>
      <c r="B16" s="252" t="s">
        <v>3394</v>
      </c>
      <c r="C16" s="252"/>
      <c r="D16" s="252"/>
    </row>
    <row r="17" spans="1:4" ht="20.25" customHeight="1" x14ac:dyDescent="0.35">
      <c r="A17" s="264">
        <v>39159000</v>
      </c>
      <c r="B17" s="252" t="s">
        <v>3395</v>
      </c>
      <c r="C17" s="252"/>
      <c r="D17" s="252"/>
    </row>
    <row r="18" spans="1:4" ht="20.25" customHeight="1" x14ac:dyDescent="0.35">
      <c r="A18" s="264">
        <v>84138100</v>
      </c>
      <c r="B18" s="252" t="s">
        <v>3395</v>
      </c>
      <c r="C18" s="252"/>
      <c r="D18" s="252"/>
    </row>
    <row r="19" spans="1:4" ht="20.25" customHeight="1" x14ac:dyDescent="0.35">
      <c r="A19" s="264">
        <v>84433115</v>
      </c>
      <c r="B19" s="252" t="s">
        <v>3395</v>
      </c>
      <c r="C19" s="252"/>
      <c r="D19" s="252"/>
    </row>
    <row r="20" spans="1:4" ht="20.25" customHeight="1" x14ac:dyDescent="0.35">
      <c r="A20" s="264">
        <v>84433236</v>
      </c>
      <c r="B20" s="252" t="s">
        <v>3395</v>
      </c>
      <c r="C20" s="252"/>
      <c r="D20" s="252"/>
    </row>
    <row r="21" spans="1:4" ht="20.25" customHeight="1" x14ac:dyDescent="0.35">
      <c r="A21" s="264">
        <v>84433240</v>
      </c>
      <c r="B21" s="252" t="s">
        <v>3395</v>
      </c>
      <c r="C21" s="252"/>
      <c r="D21" s="252"/>
    </row>
    <row r="22" spans="1:4" ht="20.25" customHeight="1" x14ac:dyDescent="0.35">
      <c r="A22" s="264">
        <v>84719011</v>
      </c>
      <c r="B22" s="252" t="s">
        <v>3395</v>
      </c>
      <c r="C22" s="252"/>
      <c r="D22" s="252"/>
    </row>
    <row r="23" spans="1:4" ht="20.25" customHeight="1" x14ac:dyDescent="0.35">
      <c r="A23" s="264">
        <v>85414290</v>
      </c>
      <c r="B23" s="252" t="s">
        <v>3395</v>
      </c>
      <c r="C23" s="252"/>
      <c r="D23" s="252"/>
    </row>
    <row r="24" spans="1:4" ht="20.25" customHeight="1" x14ac:dyDescent="0.35">
      <c r="A24" s="264">
        <v>85176234</v>
      </c>
      <c r="B24" s="252" t="s">
        <v>3396</v>
      </c>
      <c r="C24" s="252"/>
      <c r="D24" s="252"/>
    </row>
    <row r="25" spans="1:4" ht="20.25" customHeight="1" x14ac:dyDescent="0.35">
      <c r="A25" s="264">
        <v>85444200</v>
      </c>
      <c r="B25" s="252" t="s">
        <v>3396</v>
      </c>
      <c r="C25" s="252"/>
      <c r="D25" s="252"/>
    </row>
    <row r="26" spans="1:4" ht="20.25" customHeight="1" x14ac:dyDescent="0.35">
      <c r="A26" s="264">
        <v>15132919</v>
      </c>
      <c r="B26" s="252" t="s">
        <v>3397</v>
      </c>
      <c r="C26" s="252"/>
      <c r="D26" s="252"/>
    </row>
    <row r="27" spans="1:4" ht="20.25" customHeight="1" x14ac:dyDescent="0.35">
      <c r="A27" s="264">
        <v>27079990</v>
      </c>
      <c r="B27" s="252" t="s">
        <v>3397</v>
      </c>
      <c r="C27" s="252"/>
      <c r="D27" s="252"/>
    </row>
    <row r="28" spans="1:4" ht="20.25" customHeight="1" x14ac:dyDescent="0.35">
      <c r="A28" s="264">
        <v>27101931</v>
      </c>
      <c r="B28" s="252" t="s">
        <v>3397</v>
      </c>
      <c r="C28" s="252"/>
      <c r="D28" s="252"/>
    </row>
    <row r="29" spans="1:4" ht="20.25" customHeight="1" x14ac:dyDescent="0.35">
      <c r="A29" s="264">
        <v>27101991</v>
      </c>
      <c r="B29" s="252" t="s">
        <v>3397</v>
      </c>
      <c r="C29" s="252"/>
      <c r="D29" s="252"/>
    </row>
    <row r="30" spans="1:4" ht="20.25" customHeight="1" x14ac:dyDescent="0.35">
      <c r="A30" s="264">
        <v>27121000</v>
      </c>
      <c r="B30" s="252" t="s">
        <v>3397</v>
      </c>
      <c r="C30" s="252"/>
      <c r="D30" s="252"/>
    </row>
    <row r="31" spans="1:4" ht="20.25" customHeight="1" x14ac:dyDescent="0.35">
      <c r="A31" s="264">
        <v>28070010</v>
      </c>
      <c r="B31" s="252" t="s">
        <v>3397</v>
      </c>
      <c r="C31" s="252"/>
      <c r="D31" s="252"/>
    </row>
    <row r="32" spans="1:4" ht="20.25" customHeight="1" x14ac:dyDescent="0.35">
      <c r="A32" s="264">
        <v>28100010</v>
      </c>
      <c r="B32" s="252" t="s">
        <v>3397</v>
      </c>
      <c r="C32" s="252"/>
      <c r="D32" s="252"/>
    </row>
    <row r="33" spans="1:4" ht="20.25" customHeight="1" x14ac:dyDescent="0.35">
      <c r="A33" s="264">
        <v>28352980</v>
      </c>
      <c r="B33" s="252" t="s">
        <v>3397</v>
      </c>
      <c r="C33" s="252"/>
      <c r="D33" s="252"/>
    </row>
    <row r="34" spans="1:4" ht="20.25" customHeight="1" x14ac:dyDescent="0.35">
      <c r="A34" s="264">
        <v>29034510</v>
      </c>
      <c r="B34" s="252" t="s">
        <v>3397</v>
      </c>
      <c r="C34" s="252"/>
      <c r="D34" s="252"/>
    </row>
    <row r="35" spans="1:4" ht="20.25" customHeight="1" x14ac:dyDescent="0.35">
      <c r="A35" s="264">
        <v>29051410</v>
      </c>
      <c r="B35" s="252" t="s">
        <v>3397</v>
      </c>
      <c r="C35" s="252"/>
      <c r="D35" s="252"/>
    </row>
    <row r="36" spans="1:4" ht="20.25" customHeight="1" x14ac:dyDescent="0.35">
      <c r="A36" s="264">
        <v>29054500</v>
      </c>
      <c r="B36" s="252" t="s">
        <v>3397</v>
      </c>
      <c r="C36" s="252"/>
      <c r="D36" s="252"/>
    </row>
    <row r="37" spans="1:4" ht="20.25" customHeight="1" x14ac:dyDescent="0.35">
      <c r="A37" s="264">
        <v>29055990</v>
      </c>
      <c r="B37" s="252" t="s">
        <v>3397</v>
      </c>
      <c r="C37" s="252"/>
      <c r="D37" s="252"/>
    </row>
    <row r="38" spans="1:4" ht="20.25" customHeight="1" x14ac:dyDescent="0.35">
      <c r="A38" s="264">
        <v>29094310</v>
      </c>
      <c r="B38" s="252" t="s">
        <v>3397</v>
      </c>
      <c r="C38" s="252"/>
      <c r="D38" s="252"/>
    </row>
    <row r="39" spans="1:4" ht="20.25" customHeight="1" x14ac:dyDescent="0.35">
      <c r="A39" s="264">
        <v>29094421</v>
      </c>
      <c r="B39" s="252" t="s">
        <v>3397</v>
      </c>
      <c r="C39" s="252"/>
      <c r="D39" s="252"/>
    </row>
    <row r="40" spans="1:4" ht="20.25" customHeight="1" x14ac:dyDescent="0.35">
      <c r="A40" s="264">
        <v>29094929</v>
      </c>
      <c r="B40" s="252" t="s">
        <v>3397</v>
      </c>
      <c r="C40" s="252"/>
      <c r="D40" s="252"/>
    </row>
    <row r="41" spans="1:4" ht="20.25" customHeight="1" x14ac:dyDescent="0.35">
      <c r="A41" s="264">
        <v>29153939</v>
      </c>
      <c r="B41" s="252" t="s">
        <v>3397</v>
      </c>
      <c r="C41" s="252"/>
      <c r="D41" s="252"/>
    </row>
    <row r="42" spans="1:4" ht="20.25" customHeight="1" x14ac:dyDescent="0.35">
      <c r="A42" s="264">
        <v>29211999</v>
      </c>
      <c r="B42" s="252" t="s">
        <v>3397</v>
      </c>
      <c r="C42" s="252"/>
      <c r="D42" s="252"/>
    </row>
    <row r="43" spans="1:4" ht="20.25" customHeight="1" x14ac:dyDescent="0.35">
      <c r="A43" s="264">
        <v>29212990</v>
      </c>
      <c r="B43" s="252" t="s">
        <v>3397</v>
      </c>
      <c r="C43" s="252"/>
      <c r="D43" s="252"/>
    </row>
    <row r="44" spans="1:4" ht="20.25" customHeight="1" x14ac:dyDescent="0.35">
      <c r="A44" s="264">
        <v>29332999</v>
      </c>
      <c r="B44" s="252" t="s">
        <v>3397</v>
      </c>
      <c r="C44" s="252"/>
      <c r="D44" s="252"/>
    </row>
    <row r="45" spans="1:4" ht="20.25" customHeight="1" x14ac:dyDescent="0.35">
      <c r="A45" s="264">
        <v>29339969</v>
      </c>
      <c r="B45" s="252" t="s">
        <v>3397</v>
      </c>
      <c r="C45" s="252"/>
      <c r="D45" s="252"/>
    </row>
    <row r="46" spans="1:4" ht="20.25" customHeight="1" x14ac:dyDescent="0.35">
      <c r="A46" s="264">
        <v>32041210</v>
      </c>
      <c r="B46" s="252" t="s">
        <v>3397</v>
      </c>
      <c r="C46" s="252"/>
      <c r="D46" s="252"/>
    </row>
    <row r="47" spans="1:4" ht="20.25" customHeight="1" x14ac:dyDescent="0.35">
      <c r="A47" s="264">
        <v>34023100</v>
      </c>
      <c r="B47" s="252" t="s">
        <v>3397</v>
      </c>
      <c r="C47" s="252"/>
      <c r="D47" s="252"/>
    </row>
    <row r="48" spans="1:4" ht="20.25" customHeight="1" x14ac:dyDescent="0.35">
      <c r="A48" s="264">
        <v>34023990</v>
      </c>
      <c r="B48" s="252" t="s">
        <v>3397</v>
      </c>
      <c r="C48" s="252"/>
      <c r="D48" s="252"/>
    </row>
    <row r="49" spans="1:4" ht="20.25" customHeight="1" x14ac:dyDescent="0.35">
      <c r="A49" s="264">
        <v>34024200</v>
      </c>
      <c r="B49" s="252" t="s">
        <v>3397</v>
      </c>
      <c r="C49" s="252"/>
      <c r="D49" s="252"/>
    </row>
    <row r="50" spans="1:4" ht="20.25" customHeight="1" x14ac:dyDescent="0.35">
      <c r="A50" s="264">
        <v>34029029</v>
      </c>
      <c r="B50" s="252" t="s">
        <v>3397</v>
      </c>
      <c r="C50" s="252"/>
      <c r="D50" s="252"/>
    </row>
    <row r="51" spans="1:4" ht="20.25" customHeight="1" x14ac:dyDescent="0.35">
      <c r="A51" s="264">
        <v>34042010</v>
      </c>
      <c r="B51" s="252" t="s">
        <v>3397</v>
      </c>
      <c r="C51" s="252"/>
      <c r="D51" s="252"/>
    </row>
    <row r="52" spans="1:4" ht="20.25" customHeight="1" x14ac:dyDescent="0.35">
      <c r="A52" s="264">
        <v>34049019</v>
      </c>
      <c r="B52" s="252" t="s">
        <v>3397</v>
      </c>
      <c r="C52" s="252"/>
      <c r="D52" s="252"/>
    </row>
    <row r="53" spans="1:4" ht="20.25" customHeight="1" x14ac:dyDescent="0.35">
      <c r="A53" s="264">
        <v>38112990</v>
      </c>
      <c r="B53" s="252" t="s">
        <v>3397</v>
      </c>
      <c r="C53" s="252"/>
      <c r="D53" s="252"/>
    </row>
    <row r="54" spans="1:4" ht="20.25" customHeight="1" x14ac:dyDescent="0.35">
      <c r="A54" s="264">
        <v>38140090</v>
      </c>
      <c r="B54" s="252" t="s">
        <v>3397</v>
      </c>
      <c r="C54" s="252"/>
      <c r="D54" s="252"/>
    </row>
    <row r="55" spans="1:4" ht="20.25" customHeight="1" x14ac:dyDescent="0.35">
      <c r="A55" s="264">
        <v>38190000</v>
      </c>
      <c r="B55" s="252" t="s">
        <v>3397</v>
      </c>
      <c r="C55" s="252"/>
      <c r="D55" s="252"/>
    </row>
    <row r="56" spans="1:4" ht="20.25" customHeight="1" x14ac:dyDescent="0.35">
      <c r="A56" s="264">
        <v>38229000</v>
      </c>
      <c r="B56" s="252" t="s">
        <v>3397</v>
      </c>
      <c r="C56" s="252"/>
      <c r="D56" s="252"/>
    </row>
    <row r="57" spans="1:4" ht="20.25" customHeight="1" x14ac:dyDescent="0.35">
      <c r="A57" s="264">
        <v>38231990</v>
      </c>
      <c r="B57" s="252" t="s">
        <v>3397</v>
      </c>
      <c r="C57" s="252"/>
      <c r="D57" s="252"/>
    </row>
    <row r="58" spans="1:4" ht="20.25" customHeight="1" x14ac:dyDescent="0.35">
      <c r="A58" s="264">
        <v>38249929</v>
      </c>
      <c r="B58" s="252" t="s">
        <v>3397</v>
      </c>
      <c r="C58" s="252"/>
      <c r="D58" s="252"/>
    </row>
    <row r="59" spans="1:4" ht="20.25" customHeight="1" x14ac:dyDescent="0.35">
      <c r="A59" s="264">
        <v>38249989</v>
      </c>
      <c r="B59" s="252" t="s">
        <v>3397</v>
      </c>
      <c r="C59" s="252"/>
      <c r="D59" s="252"/>
    </row>
    <row r="60" spans="1:4" ht="20.25" customHeight="1" x14ac:dyDescent="0.35">
      <c r="A60" s="264">
        <v>39072931</v>
      </c>
      <c r="B60" s="252" t="s">
        <v>3397</v>
      </c>
      <c r="C60" s="252"/>
      <c r="D60" s="252"/>
    </row>
    <row r="61" spans="1:4" ht="20.25" customHeight="1" x14ac:dyDescent="0.35">
      <c r="A61" s="264">
        <v>39072939</v>
      </c>
      <c r="B61" s="252" t="s">
        <v>3397</v>
      </c>
      <c r="C61" s="252"/>
      <c r="D61" s="252"/>
    </row>
    <row r="62" spans="1:4" ht="20.25" customHeight="1" x14ac:dyDescent="0.35">
      <c r="A62" s="264">
        <v>39100090</v>
      </c>
      <c r="B62" s="252" t="s">
        <v>3397</v>
      </c>
      <c r="C62" s="252"/>
      <c r="D62" s="252"/>
    </row>
    <row r="63" spans="1:4" ht="20.25" customHeight="1" x14ac:dyDescent="0.35">
      <c r="A63" s="264">
        <v>39159000</v>
      </c>
      <c r="B63" s="252" t="s">
        <v>3397</v>
      </c>
      <c r="C63" s="252"/>
      <c r="D63" s="252"/>
    </row>
    <row r="64" spans="1:4" ht="20.25" customHeight="1" x14ac:dyDescent="0.35">
      <c r="A64" s="264">
        <v>39233090</v>
      </c>
      <c r="B64" s="252" t="s">
        <v>3397</v>
      </c>
      <c r="C64" s="252"/>
      <c r="D64" s="252"/>
    </row>
    <row r="65" spans="1:4" ht="20.25" customHeight="1" x14ac:dyDescent="0.35">
      <c r="A65" s="264">
        <v>40021110</v>
      </c>
      <c r="B65" s="252" t="s">
        <v>3397</v>
      </c>
      <c r="C65" s="252"/>
      <c r="D65" s="252"/>
    </row>
    <row r="66" spans="1:4" ht="20.25" customHeight="1" x14ac:dyDescent="0.35">
      <c r="A66" s="264">
        <v>40169300</v>
      </c>
      <c r="B66" s="252" t="s">
        <v>3397</v>
      </c>
      <c r="C66" s="252"/>
      <c r="D66" s="252"/>
    </row>
    <row r="67" spans="1:4" ht="20.25" customHeight="1" x14ac:dyDescent="0.35">
      <c r="A67" s="264">
        <v>42021220</v>
      </c>
      <c r="B67" s="252" t="s">
        <v>3397</v>
      </c>
      <c r="C67" s="252"/>
      <c r="D67" s="252"/>
    </row>
    <row r="68" spans="1:4" ht="20.25" customHeight="1" x14ac:dyDescent="0.35">
      <c r="A68" s="264">
        <v>48204000</v>
      </c>
      <c r="B68" s="252" t="s">
        <v>3397</v>
      </c>
      <c r="C68" s="252"/>
      <c r="D68" s="252"/>
    </row>
    <row r="69" spans="1:4" ht="20.25" customHeight="1" x14ac:dyDescent="0.35">
      <c r="A69" s="264">
        <v>59119000</v>
      </c>
      <c r="B69" s="252" t="s">
        <v>3397</v>
      </c>
      <c r="C69" s="252"/>
      <c r="D69" s="252"/>
    </row>
    <row r="70" spans="1:4" ht="20.25" customHeight="1" x14ac:dyDescent="0.35">
      <c r="A70" s="264">
        <v>63079090</v>
      </c>
      <c r="B70" s="252" t="s">
        <v>3397</v>
      </c>
      <c r="C70" s="252"/>
      <c r="D70" s="252"/>
    </row>
    <row r="71" spans="1:4" ht="20.25" customHeight="1" x14ac:dyDescent="0.35">
      <c r="A71" s="264">
        <v>73239300</v>
      </c>
      <c r="B71" s="252" t="s">
        <v>3397</v>
      </c>
      <c r="C71" s="252"/>
      <c r="D71" s="252"/>
    </row>
    <row r="72" spans="1:4" ht="20.25" customHeight="1" x14ac:dyDescent="0.35">
      <c r="A72" s="264">
        <v>76169900</v>
      </c>
      <c r="B72" s="252" t="s">
        <v>3397</v>
      </c>
      <c r="C72" s="252"/>
      <c r="D72" s="252"/>
    </row>
    <row r="73" spans="1:4" ht="20.25" customHeight="1" x14ac:dyDescent="0.35">
      <c r="A73" s="264">
        <v>84219999</v>
      </c>
      <c r="B73" s="252" t="s">
        <v>3397</v>
      </c>
      <c r="C73" s="252"/>
      <c r="D73" s="252"/>
    </row>
    <row r="74" spans="1:4" ht="20.25" customHeight="1" x14ac:dyDescent="0.35">
      <c r="A74" s="264">
        <v>84798210</v>
      </c>
      <c r="B74" s="252" t="s">
        <v>3397</v>
      </c>
      <c r="C74" s="252"/>
      <c r="D74" s="252"/>
    </row>
    <row r="75" spans="1:4" ht="20.25" customHeight="1" x14ac:dyDescent="0.35">
      <c r="A75" s="264">
        <v>84798912</v>
      </c>
      <c r="B75" s="252" t="s">
        <v>3397</v>
      </c>
      <c r="C75" s="252"/>
      <c r="D75" s="252"/>
    </row>
    <row r="76" spans="1:4" ht="20.25" customHeight="1" x14ac:dyDescent="0.35">
      <c r="A76" s="264">
        <v>84819090</v>
      </c>
      <c r="B76" s="252" t="s">
        <v>3397</v>
      </c>
      <c r="C76" s="252"/>
      <c r="D76" s="252"/>
    </row>
    <row r="77" spans="1:4" ht="20.25" customHeight="1" x14ac:dyDescent="0.35">
      <c r="A77" s="264">
        <v>85044010</v>
      </c>
      <c r="B77" s="252" t="s">
        <v>3397</v>
      </c>
      <c r="C77" s="252"/>
      <c r="D77" s="252"/>
    </row>
    <row r="78" spans="1:4" ht="20.25" customHeight="1" x14ac:dyDescent="0.35">
      <c r="A78" s="264">
        <v>85051100</v>
      </c>
      <c r="B78" s="252" t="s">
        <v>3397</v>
      </c>
      <c r="C78" s="252"/>
      <c r="D78" s="252"/>
    </row>
    <row r="79" spans="1:4" ht="20.25" customHeight="1" x14ac:dyDescent="0.35">
      <c r="A79" s="264">
        <v>85171830</v>
      </c>
      <c r="B79" s="252" t="s">
        <v>3397</v>
      </c>
      <c r="C79" s="252"/>
      <c r="D79" s="252"/>
    </row>
    <row r="80" spans="1:4" ht="20.25" customHeight="1" x14ac:dyDescent="0.35">
      <c r="A80" s="264">
        <v>85183000</v>
      </c>
      <c r="B80" s="252" t="s">
        <v>3397</v>
      </c>
      <c r="C80" s="252"/>
      <c r="D80" s="252"/>
    </row>
    <row r="81" spans="1:4" ht="20.25" customHeight="1" x14ac:dyDescent="0.35">
      <c r="A81" s="264">
        <v>85371090</v>
      </c>
      <c r="B81" s="252" t="s">
        <v>3397</v>
      </c>
      <c r="C81" s="252"/>
      <c r="D81" s="252"/>
    </row>
    <row r="82" spans="1:4" ht="20.25" customHeight="1" x14ac:dyDescent="0.35">
      <c r="A82" s="264">
        <v>90249000</v>
      </c>
      <c r="B82" s="252" t="s">
        <v>3397</v>
      </c>
      <c r="C82" s="252"/>
      <c r="D82" s="252"/>
    </row>
    <row r="83" spans="1:4" ht="20.25" customHeight="1" x14ac:dyDescent="0.35">
      <c r="A83" s="264">
        <v>96034010</v>
      </c>
      <c r="B83" s="252" t="s">
        <v>3397</v>
      </c>
      <c r="C83" s="252"/>
      <c r="D83" s="252"/>
    </row>
    <row r="84" spans="1:4" ht="20.25" customHeight="1" x14ac:dyDescent="0.35">
      <c r="A84" s="264">
        <v>96081000</v>
      </c>
      <c r="B84" s="252" t="s">
        <v>3397</v>
      </c>
      <c r="C84" s="252"/>
      <c r="D84" s="252"/>
    </row>
    <row r="85" spans="1:4" ht="20.25" customHeight="1" x14ac:dyDescent="0.35">
      <c r="A85" s="264">
        <v>96170010</v>
      </c>
      <c r="B85" s="252" t="s">
        <v>3397</v>
      </c>
      <c r="C85" s="252"/>
      <c r="D85" s="252"/>
    </row>
    <row r="86" spans="1:4" ht="20.25" customHeight="1" x14ac:dyDescent="0.35">
      <c r="A86" s="264">
        <v>29211999</v>
      </c>
      <c r="B86" s="252" t="s">
        <v>3398</v>
      </c>
      <c r="C86" s="252"/>
      <c r="D86" s="252"/>
    </row>
    <row r="87" spans="1:4" ht="20.25" customHeight="1" x14ac:dyDescent="0.35">
      <c r="A87" s="264">
        <v>39159000</v>
      </c>
      <c r="B87" s="252" t="s">
        <v>3398</v>
      </c>
      <c r="C87" s="252"/>
      <c r="D87" s="252"/>
    </row>
    <row r="88" spans="1:4" ht="20.25" customHeight="1" x14ac:dyDescent="0.35">
      <c r="A88" s="264">
        <v>39232110</v>
      </c>
      <c r="B88" s="252" t="s">
        <v>3398</v>
      </c>
      <c r="C88" s="252"/>
      <c r="D88" s="252"/>
    </row>
    <row r="89" spans="1:4" ht="20.25" customHeight="1" x14ac:dyDescent="0.35">
      <c r="A89" s="264">
        <v>39233090</v>
      </c>
      <c r="B89" s="252" t="s">
        <v>3398</v>
      </c>
      <c r="C89" s="252"/>
      <c r="D89" s="252"/>
    </row>
    <row r="90" spans="1:4" ht="20.25" customHeight="1" x14ac:dyDescent="0.35">
      <c r="A90" s="264">
        <v>39239090</v>
      </c>
      <c r="B90" s="252" t="s">
        <v>3398</v>
      </c>
      <c r="C90" s="252"/>
      <c r="D90" s="252"/>
    </row>
    <row r="91" spans="1:4" ht="20.25" customHeight="1" x14ac:dyDescent="0.35">
      <c r="A91" s="264">
        <v>39269090</v>
      </c>
      <c r="B91" s="252" t="s">
        <v>3398</v>
      </c>
      <c r="C91" s="252"/>
      <c r="D91" s="252"/>
    </row>
    <row r="92" spans="1:4" ht="20.25" customHeight="1" x14ac:dyDescent="0.35">
      <c r="A92" s="264">
        <v>40169300</v>
      </c>
      <c r="B92" s="252" t="s">
        <v>3398</v>
      </c>
      <c r="C92" s="252"/>
      <c r="D92" s="252"/>
    </row>
    <row r="93" spans="1:4" ht="20.25" customHeight="1" x14ac:dyDescent="0.35">
      <c r="A93" s="264">
        <v>63053390</v>
      </c>
      <c r="B93" s="252" t="s">
        <v>3398</v>
      </c>
      <c r="C93" s="252"/>
      <c r="D93" s="252"/>
    </row>
    <row r="94" spans="1:4" ht="20.25" customHeight="1" x14ac:dyDescent="0.35">
      <c r="A94" s="264">
        <v>73110000</v>
      </c>
      <c r="B94" s="252" t="s">
        <v>3398</v>
      </c>
      <c r="C94" s="252"/>
      <c r="D94" s="252"/>
    </row>
    <row r="95" spans="1:4" ht="20.25" customHeight="1" x14ac:dyDescent="0.35">
      <c r="A95" s="264">
        <v>86090000</v>
      </c>
      <c r="B95" s="252" t="s">
        <v>3398</v>
      </c>
      <c r="C95" s="252"/>
      <c r="D95" s="252"/>
    </row>
    <row r="96" spans="1:4" ht="20.25" customHeight="1" x14ac:dyDescent="0.35">
      <c r="A96" s="264">
        <v>29094100</v>
      </c>
      <c r="B96" s="252" t="s">
        <v>3399</v>
      </c>
      <c r="C96" s="252"/>
      <c r="D96" s="252"/>
    </row>
    <row r="97" spans="1:4" ht="20.25" customHeight="1" x14ac:dyDescent="0.35">
      <c r="A97" s="264">
        <v>29094310</v>
      </c>
      <c r="B97" s="252" t="s">
        <v>3399</v>
      </c>
      <c r="C97" s="252"/>
      <c r="D97" s="252"/>
    </row>
    <row r="98" spans="1:4" ht="20.25" customHeight="1" x14ac:dyDescent="0.35">
      <c r="A98" s="264">
        <v>29094421</v>
      </c>
      <c r="B98" s="252" t="s">
        <v>3399</v>
      </c>
      <c r="C98" s="252"/>
      <c r="D98" s="252"/>
    </row>
    <row r="99" spans="1:4" ht="20.25" customHeight="1" x14ac:dyDescent="0.35">
      <c r="A99" s="264">
        <v>29153931</v>
      </c>
      <c r="B99" s="252" t="s">
        <v>3399</v>
      </c>
      <c r="C99" s="252"/>
      <c r="D99" s="252"/>
    </row>
    <row r="100" spans="1:4" ht="20.25" customHeight="1" x14ac:dyDescent="0.35">
      <c r="A100" s="264">
        <v>29153939</v>
      </c>
      <c r="B100" s="252" t="s">
        <v>3399</v>
      </c>
      <c r="C100" s="252"/>
      <c r="D100" s="252"/>
    </row>
    <row r="101" spans="1:4" x14ac:dyDescent="0.35">
      <c r="A101" s="264">
        <v>34023990</v>
      </c>
      <c r="B101" s="252" t="s">
        <v>3399</v>
      </c>
      <c r="C101" s="252"/>
      <c r="D101" s="252"/>
    </row>
    <row r="102" spans="1:4" x14ac:dyDescent="0.35">
      <c r="A102" s="264">
        <v>34024200</v>
      </c>
      <c r="B102" s="252" t="s">
        <v>3399</v>
      </c>
      <c r="C102" s="252"/>
      <c r="D102" s="252"/>
    </row>
    <row r="103" spans="1:4" x14ac:dyDescent="0.35">
      <c r="A103" s="264">
        <v>34029029</v>
      </c>
      <c r="B103" s="252" t="s">
        <v>3399</v>
      </c>
      <c r="C103" s="252"/>
      <c r="D103" s="252"/>
    </row>
    <row r="104" spans="1:4" x14ac:dyDescent="0.35">
      <c r="A104" s="264">
        <v>38140090</v>
      </c>
      <c r="B104" s="252" t="s">
        <v>3399</v>
      </c>
      <c r="C104" s="252"/>
      <c r="D104" s="252"/>
    </row>
    <row r="105" spans="1:4" x14ac:dyDescent="0.35">
      <c r="A105" s="264">
        <v>29051720</v>
      </c>
      <c r="B105" s="252" t="s">
        <v>3400</v>
      </c>
      <c r="C105" s="252"/>
      <c r="D105" s="252"/>
    </row>
    <row r="106" spans="1:4" x14ac:dyDescent="0.35">
      <c r="A106" s="264">
        <v>29051730</v>
      </c>
      <c r="B106" s="252" t="s">
        <v>3400</v>
      </c>
      <c r="C106" s="252"/>
      <c r="D106" s="252"/>
    </row>
    <row r="107" spans="1:4" x14ac:dyDescent="0.35">
      <c r="A107" s="264">
        <v>29054500</v>
      </c>
      <c r="B107" s="252" t="s">
        <v>3400</v>
      </c>
      <c r="C107" s="252"/>
      <c r="D107" s="252"/>
    </row>
    <row r="108" spans="1:4" x14ac:dyDescent="0.35">
      <c r="A108" s="264">
        <v>38231990</v>
      </c>
      <c r="B108" s="252" t="s">
        <v>3400</v>
      </c>
      <c r="C108" s="252"/>
      <c r="D108" s="252"/>
    </row>
    <row r="109" spans="1:4" x14ac:dyDescent="0.35">
      <c r="A109" s="264">
        <v>38237010</v>
      </c>
      <c r="B109" s="252" t="s">
        <v>3400</v>
      </c>
      <c r="C109" s="252"/>
      <c r="D109" s="252"/>
    </row>
    <row r="110" spans="1:4" x14ac:dyDescent="0.35">
      <c r="A110" s="264">
        <v>38237020</v>
      </c>
      <c r="B110" s="252" t="s">
        <v>3400</v>
      </c>
      <c r="C110" s="252"/>
      <c r="D110" s="252"/>
    </row>
    <row r="111" spans="1:4" x14ac:dyDescent="0.35">
      <c r="A111" s="264">
        <v>38249929</v>
      </c>
      <c r="B111" s="252" t="s">
        <v>3400</v>
      </c>
      <c r="C111" s="252"/>
      <c r="D111" s="252"/>
    </row>
    <row r="112" spans="1:4" x14ac:dyDescent="0.35">
      <c r="A112" s="264">
        <v>27160000</v>
      </c>
      <c r="B112" s="252" t="s">
        <v>3401</v>
      </c>
      <c r="C112" s="252"/>
      <c r="D112" s="252"/>
    </row>
    <row r="113" spans="1:4" x14ac:dyDescent="0.35">
      <c r="A113" s="264">
        <v>29141200</v>
      </c>
      <c r="B113" s="252" t="s">
        <v>3402</v>
      </c>
      <c r="C113" s="252"/>
      <c r="D113" s="252"/>
    </row>
    <row r="114" spans="1:4" x14ac:dyDescent="0.35">
      <c r="A114" s="264">
        <v>34023990</v>
      </c>
      <c r="B114" s="252" t="s">
        <v>3402</v>
      </c>
      <c r="C114" s="252"/>
      <c r="D114" s="252"/>
    </row>
    <row r="115" spans="1:4" x14ac:dyDescent="0.35">
      <c r="A115" s="264">
        <v>34024200</v>
      </c>
      <c r="B115" s="252" t="s">
        <v>3402</v>
      </c>
      <c r="C115" s="252"/>
      <c r="D115" s="252"/>
    </row>
    <row r="116" spans="1:4" x14ac:dyDescent="0.35">
      <c r="A116" s="264">
        <v>34024900</v>
      </c>
      <c r="B116" s="252" t="s">
        <v>3402</v>
      </c>
      <c r="C116" s="252"/>
      <c r="D116" s="252"/>
    </row>
    <row r="117" spans="1:4" x14ac:dyDescent="0.35">
      <c r="A117" s="264">
        <v>34029029</v>
      </c>
      <c r="B117" s="252" t="s">
        <v>3402</v>
      </c>
      <c r="C117" s="252"/>
      <c r="D117" s="252"/>
    </row>
    <row r="118" spans="1:4" x14ac:dyDescent="0.35">
      <c r="A118" s="264">
        <v>34042010</v>
      </c>
      <c r="B118" s="252" t="s">
        <v>3402</v>
      </c>
      <c r="C118" s="252"/>
      <c r="D118" s="252"/>
    </row>
    <row r="119" spans="1:4" x14ac:dyDescent="0.35">
      <c r="A119" s="264">
        <v>34049019</v>
      </c>
      <c r="B119" s="252" t="s">
        <v>3402</v>
      </c>
      <c r="C119" s="252"/>
      <c r="D119" s="252"/>
    </row>
    <row r="120" spans="1:4" x14ac:dyDescent="0.35">
      <c r="A120" s="264">
        <v>38237010</v>
      </c>
      <c r="B120" s="252" t="s">
        <v>3402</v>
      </c>
      <c r="C120" s="252"/>
      <c r="D120" s="252"/>
    </row>
    <row r="121" spans="1:4" x14ac:dyDescent="0.35">
      <c r="A121" s="264">
        <v>38249929</v>
      </c>
      <c r="B121" s="252" t="s">
        <v>3402</v>
      </c>
      <c r="C121" s="252"/>
      <c r="D121" s="252"/>
    </row>
    <row r="122" spans="1:4" x14ac:dyDescent="0.35">
      <c r="A122" s="264">
        <v>39159000</v>
      </c>
      <c r="B122" s="252" t="s">
        <v>3403</v>
      </c>
      <c r="C122" s="252"/>
      <c r="D122" s="252"/>
    </row>
    <row r="123" spans="1:4" x14ac:dyDescent="0.35">
      <c r="A123" s="264">
        <v>28070010</v>
      </c>
      <c r="B123" s="252" t="s">
        <v>3404</v>
      </c>
      <c r="C123" s="252"/>
      <c r="D123" s="252"/>
    </row>
    <row r="124" spans="1:4" x14ac:dyDescent="0.35">
      <c r="A124" s="264">
        <v>29012300</v>
      </c>
      <c r="B124" s="252" t="s">
        <v>3404</v>
      </c>
      <c r="C124" s="252"/>
      <c r="D124" s="252"/>
    </row>
    <row r="125" spans="1:4" x14ac:dyDescent="0.35">
      <c r="A125" s="264">
        <v>29051420</v>
      </c>
      <c r="B125" s="252" t="s">
        <v>3404</v>
      </c>
      <c r="C125" s="252"/>
      <c r="D125" s="252"/>
    </row>
    <row r="126" spans="1:4" x14ac:dyDescent="0.35">
      <c r="A126" s="264">
        <v>29141200</v>
      </c>
      <c r="B126" s="252" t="s">
        <v>3404</v>
      </c>
      <c r="C126" s="252"/>
      <c r="D126" s="252"/>
    </row>
    <row r="127" spans="1:4" x14ac:dyDescent="0.35">
      <c r="A127" s="264">
        <v>38140090</v>
      </c>
      <c r="B127" s="252" t="s">
        <v>3404</v>
      </c>
      <c r="C127" s="252"/>
      <c r="D127" s="252"/>
    </row>
    <row r="128" spans="1:4" x14ac:dyDescent="0.35">
      <c r="A128" s="264">
        <v>34023990</v>
      </c>
      <c r="B128" s="252" t="s">
        <v>3405</v>
      </c>
      <c r="C128" s="252"/>
      <c r="D128" s="252"/>
    </row>
    <row r="129" spans="1:4" x14ac:dyDescent="0.35">
      <c r="A129" s="264">
        <v>38249989</v>
      </c>
      <c r="B129" s="252" t="s">
        <v>3405</v>
      </c>
      <c r="C129" s="252"/>
      <c r="D129" s="252"/>
    </row>
    <row r="130" spans="1:4" x14ac:dyDescent="0.35">
      <c r="A130" s="264">
        <v>27160000</v>
      </c>
      <c r="B130" s="252" t="s">
        <v>3406</v>
      </c>
      <c r="C130" s="252"/>
      <c r="D130" s="252"/>
    </row>
    <row r="131" spans="1:4" x14ac:dyDescent="0.35">
      <c r="A131" s="264">
        <v>38249929</v>
      </c>
      <c r="B131" s="252" t="s">
        <v>3407</v>
      </c>
      <c r="C131" s="252"/>
      <c r="D131" s="252"/>
    </row>
    <row r="132" spans="1:4" x14ac:dyDescent="0.35">
      <c r="A132" s="264">
        <v>39233090</v>
      </c>
      <c r="B132" s="252" t="s">
        <v>3408</v>
      </c>
      <c r="C132" s="252"/>
      <c r="D132" s="252"/>
    </row>
    <row r="133" spans="1:4" x14ac:dyDescent="0.35">
      <c r="A133" s="264">
        <v>39239090</v>
      </c>
      <c r="B133" s="252" t="s">
        <v>3408</v>
      </c>
      <c r="C133" s="252"/>
      <c r="D133" s="252"/>
    </row>
    <row r="134" spans="1:4" x14ac:dyDescent="0.35">
      <c r="A134" s="264">
        <v>73101090</v>
      </c>
      <c r="B134" s="252" t="s">
        <v>3408</v>
      </c>
      <c r="C134" s="252"/>
      <c r="D134" s="252"/>
    </row>
    <row r="135" spans="1:4" x14ac:dyDescent="0.35">
      <c r="A135" s="264">
        <v>34023990</v>
      </c>
      <c r="B135" s="252" t="s">
        <v>3409</v>
      </c>
      <c r="C135" s="252"/>
      <c r="D135" s="252"/>
    </row>
    <row r="136" spans="1:4" x14ac:dyDescent="0.35">
      <c r="A136" s="264">
        <v>27101991</v>
      </c>
      <c r="B136" s="252" t="s">
        <v>3410</v>
      </c>
      <c r="C136" s="252"/>
      <c r="D136" s="252"/>
    </row>
    <row r="137" spans="1:4" x14ac:dyDescent="0.35">
      <c r="A137" s="264">
        <v>29055990</v>
      </c>
      <c r="B137" s="252" t="s">
        <v>3410</v>
      </c>
      <c r="C137" s="252"/>
      <c r="D137" s="252"/>
    </row>
    <row r="138" spans="1:4" x14ac:dyDescent="0.35">
      <c r="A138" s="264">
        <v>29221200</v>
      </c>
      <c r="B138" s="252" t="s">
        <v>3410</v>
      </c>
      <c r="C138" s="252"/>
      <c r="D138" s="252"/>
    </row>
    <row r="139" spans="1:4" x14ac:dyDescent="0.35">
      <c r="A139" s="264">
        <v>34023990</v>
      </c>
      <c r="B139" s="252" t="s">
        <v>3410</v>
      </c>
      <c r="C139" s="252"/>
      <c r="D139" s="252"/>
    </row>
    <row r="140" spans="1:4" x14ac:dyDescent="0.35">
      <c r="A140" s="264">
        <v>34024900</v>
      </c>
      <c r="B140" s="252" t="s">
        <v>3410</v>
      </c>
      <c r="C140" s="252"/>
      <c r="D140" s="252"/>
    </row>
    <row r="141" spans="1:4" x14ac:dyDescent="0.35">
      <c r="A141" s="264">
        <v>73101090</v>
      </c>
      <c r="B141" s="252" t="s">
        <v>3411</v>
      </c>
      <c r="C141" s="252"/>
      <c r="D141" s="252"/>
    </row>
    <row r="142" spans="1:4" x14ac:dyDescent="0.35">
      <c r="A142" s="264">
        <v>22019000</v>
      </c>
      <c r="B142" s="252" t="s">
        <v>3412</v>
      </c>
      <c r="C142" s="252"/>
      <c r="D142" s="252"/>
    </row>
    <row r="143" spans="1:4" x14ac:dyDescent="0.35">
      <c r="A143" s="264">
        <v>27101991</v>
      </c>
      <c r="B143" s="252" t="s">
        <v>3413</v>
      </c>
      <c r="C143" s="252"/>
      <c r="D143" s="252"/>
    </row>
    <row r="144" spans="1:4" x14ac:dyDescent="0.35">
      <c r="A144" s="264">
        <v>29051730</v>
      </c>
      <c r="B144" s="252" t="s">
        <v>3413</v>
      </c>
      <c r="C144" s="252"/>
      <c r="D144" s="252"/>
    </row>
    <row r="145" spans="1:4" x14ac:dyDescent="0.35">
      <c r="A145" s="264">
        <v>29221500</v>
      </c>
      <c r="B145" s="252" t="s">
        <v>3413</v>
      </c>
      <c r="C145" s="252"/>
      <c r="D145" s="252"/>
    </row>
    <row r="146" spans="1:4" x14ac:dyDescent="0.35">
      <c r="A146" s="264">
        <v>34024200</v>
      </c>
      <c r="B146" s="252" t="s">
        <v>3413</v>
      </c>
      <c r="C146" s="252"/>
      <c r="D146" s="252"/>
    </row>
    <row r="147" spans="1:4" x14ac:dyDescent="0.35">
      <c r="A147" s="264">
        <v>34029029</v>
      </c>
      <c r="B147" s="252" t="s">
        <v>3414</v>
      </c>
      <c r="C147" s="252"/>
      <c r="D147" s="252"/>
    </row>
    <row r="148" spans="1:4" x14ac:dyDescent="0.35">
      <c r="A148" s="264">
        <v>38249929</v>
      </c>
      <c r="B148" s="252" t="s">
        <v>3415</v>
      </c>
      <c r="C148" s="252"/>
      <c r="D148" s="252"/>
    </row>
    <row r="149" spans="1:4" x14ac:dyDescent="0.35">
      <c r="A149" s="264">
        <v>39159000</v>
      </c>
      <c r="B149" s="252" t="s">
        <v>3416</v>
      </c>
      <c r="C149" s="252"/>
      <c r="D149" s="252"/>
    </row>
    <row r="150" spans="1:4" x14ac:dyDescent="0.35">
      <c r="A150" s="264">
        <v>73110000</v>
      </c>
      <c r="B150" s="252" t="s">
        <v>3416</v>
      </c>
      <c r="C150" s="252"/>
      <c r="D150" s="252"/>
    </row>
    <row r="151" spans="1:4" x14ac:dyDescent="0.35">
      <c r="A151" s="264">
        <v>29141200</v>
      </c>
      <c r="B151" s="252" t="s">
        <v>3417</v>
      </c>
      <c r="C151" s="252"/>
      <c r="D151" s="252"/>
    </row>
    <row r="152" spans="1:4" x14ac:dyDescent="0.35">
      <c r="A152" s="264">
        <v>73101090</v>
      </c>
      <c r="B152" s="252" t="s">
        <v>3418</v>
      </c>
      <c r="C152" s="252"/>
      <c r="D152" s="252"/>
    </row>
    <row r="153" spans="1:4" x14ac:dyDescent="0.35">
      <c r="A153" s="264">
        <v>84198920</v>
      </c>
      <c r="B153" s="252" t="s">
        <v>3418</v>
      </c>
      <c r="C153" s="252"/>
      <c r="D153" s="252"/>
    </row>
    <row r="154" spans="1:4" x14ac:dyDescent="0.35">
      <c r="A154" s="264">
        <v>27101991</v>
      </c>
      <c r="B154" s="252" t="s">
        <v>3419</v>
      </c>
      <c r="C154" s="252"/>
      <c r="D154" s="252"/>
    </row>
    <row r="155" spans="1:4" x14ac:dyDescent="0.35">
      <c r="A155" s="264">
        <v>29051720</v>
      </c>
      <c r="B155" s="252" t="s">
        <v>3419</v>
      </c>
      <c r="C155" s="252"/>
      <c r="D155" s="252"/>
    </row>
    <row r="156" spans="1:4" x14ac:dyDescent="0.35">
      <c r="A156" s="264">
        <v>29051730</v>
      </c>
      <c r="B156" s="252" t="s">
        <v>3419</v>
      </c>
      <c r="C156" s="252"/>
      <c r="D156" s="252"/>
    </row>
    <row r="157" spans="1:4" x14ac:dyDescent="0.35">
      <c r="A157" s="264">
        <v>29053100</v>
      </c>
      <c r="B157" s="252" t="s">
        <v>3419</v>
      </c>
      <c r="C157" s="252"/>
      <c r="D157" s="252"/>
    </row>
    <row r="158" spans="1:4" x14ac:dyDescent="0.35">
      <c r="A158" s="264">
        <v>29054500</v>
      </c>
      <c r="B158" s="252" t="s">
        <v>3419</v>
      </c>
      <c r="C158" s="252"/>
      <c r="D158" s="252"/>
    </row>
    <row r="159" spans="1:4" x14ac:dyDescent="0.35">
      <c r="A159" s="264">
        <v>29094310</v>
      </c>
      <c r="B159" s="252" t="s">
        <v>3419</v>
      </c>
      <c r="C159" s="252"/>
      <c r="D159" s="252"/>
    </row>
    <row r="160" spans="1:4" x14ac:dyDescent="0.35">
      <c r="A160" s="264">
        <v>29094320</v>
      </c>
      <c r="B160" s="252" t="s">
        <v>3419</v>
      </c>
      <c r="C160" s="252"/>
      <c r="D160" s="252"/>
    </row>
    <row r="161" spans="1:4" x14ac:dyDescent="0.35">
      <c r="A161" s="264">
        <v>29153932</v>
      </c>
      <c r="B161" s="252" t="s">
        <v>3419</v>
      </c>
      <c r="C161" s="252"/>
      <c r="D161" s="252"/>
    </row>
    <row r="162" spans="1:4" x14ac:dyDescent="0.35">
      <c r="A162" s="264">
        <v>29159090</v>
      </c>
      <c r="B162" s="252" t="s">
        <v>3419</v>
      </c>
      <c r="C162" s="252"/>
      <c r="D162" s="252"/>
    </row>
    <row r="163" spans="1:4" x14ac:dyDescent="0.35">
      <c r="A163" s="264">
        <v>29221100</v>
      </c>
      <c r="B163" s="252" t="s">
        <v>3419</v>
      </c>
      <c r="C163" s="252"/>
      <c r="D163" s="252"/>
    </row>
    <row r="164" spans="1:4" x14ac:dyDescent="0.35">
      <c r="A164" s="264">
        <v>29221200</v>
      </c>
      <c r="B164" s="252" t="s">
        <v>3419</v>
      </c>
      <c r="C164" s="252"/>
      <c r="D164" s="252"/>
    </row>
    <row r="165" spans="1:4" x14ac:dyDescent="0.35">
      <c r="A165" s="264">
        <v>29221500</v>
      </c>
      <c r="B165" s="252" t="s">
        <v>3419</v>
      </c>
      <c r="C165" s="252"/>
      <c r="D165" s="252"/>
    </row>
    <row r="166" spans="1:4" x14ac:dyDescent="0.35">
      <c r="A166" s="264">
        <v>34023990</v>
      </c>
      <c r="B166" s="252" t="s">
        <v>3419</v>
      </c>
      <c r="C166" s="252"/>
      <c r="D166" s="252"/>
    </row>
    <row r="167" spans="1:4" x14ac:dyDescent="0.35">
      <c r="A167" s="264">
        <v>34024200</v>
      </c>
      <c r="B167" s="252" t="s">
        <v>3419</v>
      </c>
      <c r="C167" s="252"/>
      <c r="D167" s="252"/>
    </row>
    <row r="168" spans="1:4" x14ac:dyDescent="0.35">
      <c r="A168" s="264">
        <v>34029029</v>
      </c>
      <c r="B168" s="252" t="s">
        <v>3419</v>
      </c>
      <c r="C168" s="252"/>
      <c r="D168" s="252"/>
    </row>
    <row r="169" spans="1:4" x14ac:dyDescent="0.35">
      <c r="A169" s="264">
        <v>34042010</v>
      </c>
      <c r="B169" s="252" t="s">
        <v>3419</v>
      </c>
      <c r="C169" s="252"/>
      <c r="D169" s="252"/>
    </row>
    <row r="170" spans="1:4" x14ac:dyDescent="0.35">
      <c r="A170" s="264">
        <v>34049019</v>
      </c>
      <c r="B170" s="252" t="s">
        <v>3419</v>
      </c>
      <c r="C170" s="252"/>
      <c r="D170" s="252"/>
    </row>
    <row r="171" spans="1:4" x14ac:dyDescent="0.35">
      <c r="A171" s="264">
        <v>38151290</v>
      </c>
      <c r="B171" s="252" t="s">
        <v>3419</v>
      </c>
      <c r="C171" s="252"/>
      <c r="D171" s="252"/>
    </row>
    <row r="172" spans="1:4" x14ac:dyDescent="0.35">
      <c r="A172" s="264">
        <v>38151900</v>
      </c>
      <c r="B172" s="252" t="s">
        <v>3419</v>
      </c>
      <c r="C172" s="252"/>
      <c r="D172" s="252"/>
    </row>
    <row r="173" spans="1:4" x14ac:dyDescent="0.35">
      <c r="A173" s="264">
        <v>38231990</v>
      </c>
      <c r="B173" s="252" t="s">
        <v>3419</v>
      </c>
      <c r="C173" s="252"/>
      <c r="D173" s="252"/>
    </row>
    <row r="174" spans="1:4" x14ac:dyDescent="0.35">
      <c r="A174" s="264">
        <v>38237010</v>
      </c>
      <c r="B174" s="252" t="s">
        <v>3419</v>
      </c>
      <c r="C174" s="252"/>
      <c r="D174" s="252"/>
    </row>
    <row r="175" spans="1:4" x14ac:dyDescent="0.35">
      <c r="A175" s="264">
        <v>38237020</v>
      </c>
      <c r="B175" s="252" t="s">
        <v>3419</v>
      </c>
      <c r="C175" s="252"/>
      <c r="D175" s="252"/>
    </row>
    <row r="176" spans="1:4" x14ac:dyDescent="0.35">
      <c r="A176" s="264">
        <v>38249929</v>
      </c>
      <c r="B176" s="252" t="s">
        <v>3419</v>
      </c>
      <c r="C176" s="252"/>
      <c r="D176" s="252"/>
    </row>
    <row r="177" spans="1:4" x14ac:dyDescent="0.35">
      <c r="A177" s="264">
        <v>38249989</v>
      </c>
      <c r="B177" s="252" t="s">
        <v>3419</v>
      </c>
      <c r="C177" s="252"/>
      <c r="D177" s="252"/>
    </row>
    <row r="178" spans="1:4" x14ac:dyDescent="0.35">
      <c r="A178" s="264">
        <v>39072931</v>
      </c>
      <c r="B178" s="252" t="s">
        <v>3419</v>
      </c>
      <c r="C178" s="252"/>
      <c r="D178" s="252"/>
    </row>
    <row r="179" spans="1:4" x14ac:dyDescent="0.35">
      <c r="A179" s="264">
        <v>39072939</v>
      </c>
      <c r="B179" s="252" t="s">
        <v>3419</v>
      </c>
      <c r="C179" s="252"/>
      <c r="D179" s="252"/>
    </row>
    <row r="180" spans="1:4" x14ac:dyDescent="0.35">
      <c r="A180" s="264">
        <v>84135090</v>
      </c>
      <c r="B180" s="252" t="s">
        <v>3420</v>
      </c>
      <c r="C180" s="252"/>
      <c r="D180" s="252"/>
    </row>
    <row r="181" spans="1:4" x14ac:dyDescent="0.35">
      <c r="A181" s="264">
        <v>15132919</v>
      </c>
      <c r="B181" s="252" t="s">
        <v>3421</v>
      </c>
      <c r="C181" s="252"/>
      <c r="D181" s="252"/>
    </row>
    <row r="182" spans="1:4" x14ac:dyDescent="0.35">
      <c r="A182" s="264">
        <v>15153000</v>
      </c>
      <c r="B182" s="252" t="s">
        <v>3421</v>
      </c>
      <c r="C182" s="252"/>
      <c r="D182" s="252"/>
    </row>
    <row r="183" spans="1:4" x14ac:dyDescent="0.35">
      <c r="A183" s="264">
        <v>29051720</v>
      </c>
      <c r="B183" s="252" t="s">
        <v>3421</v>
      </c>
      <c r="C183" s="252"/>
      <c r="D183" s="252"/>
    </row>
    <row r="184" spans="1:4" x14ac:dyDescent="0.35">
      <c r="A184" s="264">
        <v>29053100</v>
      </c>
      <c r="B184" s="252" t="s">
        <v>3421</v>
      </c>
      <c r="C184" s="252"/>
      <c r="D184" s="252"/>
    </row>
    <row r="185" spans="1:4" x14ac:dyDescent="0.35">
      <c r="A185" s="264">
        <v>29071300</v>
      </c>
      <c r="B185" s="252" t="s">
        <v>3421</v>
      </c>
      <c r="C185" s="252"/>
      <c r="D185" s="252"/>
    </row>
    <row r="186" spans="1:4" x14ac:dyDescent="0.35">
      <c r="A186" s="264">
        <v>29094100</v>
      </c>
      <c r="B186" s="252" t="s">
        <v>3421</v>
      </c>
      <c r="C186" s="252"/>
      <c r="D186" s="252"/>
    </row>
    <row r="187" spans="1:4" x14ac:dyDescent="0.35">
      <c r="A187" s="264">
        <v>29141200</v>
      </c>
      <c r="B187" s="252" t="s">
        <v>3421</v>
      </c>
      <c r="C187" s="252"/>
      <c r="D187" s="252"/>
    </row>
    <row r="188" spans="1:4" x14ac:dyDescent="0.35">
      <c r="A188" s="264">
        <v>29221200</v>
      </c>
      <c r="B188" s="252" t="s">
        <v>3421</v>
      </c>
      <c r="C188" s="252"/>
      <c r="D188" s="252"/>
    </row>
    <row r="189" spans="1:4" x14ac:dyDescent="0.35">
      <c r="A189" s="264">
        <v>34024200</v>
      </c>
      <c r="B189" s="252" t="s">
        <v>3421</v>
      </c>
      <c r="C189" s="252"/>
      <c r="D189" s="252"/>
    </row>
    <row r="190" spans="1:4" x14ac:dyDescent="0.35">
      <c r="A190" s="264">
        <v>34029019</v>
      </c>
      <c r="B190" s="252" t="s">
        <v>3421</v>
      </c>
      <c r="C190" s="252"/>
      <c r="D190" s="252"/>
    </row>
    <row r="191" spans="1:4" x14ac:dyDescent="0.35">
      <c r="A191" s="264">
        <v>38237010</v>
      </c>
      <c r="B191" s="252" t="s">
        <v>3421</v>
      </c>
      <c r="C191" s="252"/>
      <c r="D191" s="252"/>
    </row>
    <row r="192" spans="1:4" x14ac:dyDescent="0.35">
      <c r="A192" s="264">
        <v>38237020</v>
      </c>
      <c r="B192" s="252" t="s">
        <v>3421</v>
      </c>
      <c r="C192" s="252"/>
      <c r="D192" s="252"/>
    </row>
    <row r="193" spans="1:4" x14ac:dyDescent="0.35">
      <c r="A193" s="264">
        <v>38249929</v>
      </c>
      <c r="B193" s="252" t="s">
        <v>3421</v>
      </c>
      <c r="C193" s="252"/>
      <c r="D193" s="252"/>
    </row>
    <row r="194" spans="1:4" x14ac:dyDescent="0.35">
      <c r="A194" s="264">
        <v>38249989</v>
      </c>
      <c r="B194" s="252" t="s">
        <v>3421</v>
      </c>
      <c r="C194" s="252"/>
      <c r="D194" s="252"/>
    </row>
    <row r="195" spans="1:4" x14ac:dyDescent="0.35">
      <c r="A195" s="264">
        <v>39072939</v>
      </c>
      <c r="B195" s="252" t="s">
        <v>3421</v>
      </c>
      <c r="C195" s="252"/>
      <c r="D195" s="252"/>
    </row>
    <row r="196" spans="1:4" x14ac:dyDescent="0.35">
      <c r="A196" s="264">
        <v>39269090</v>
      </c>
      <c r="B196" s="252" t="s">
        <v>3421</v>
      </c>
      <c r="C196" s="252"/>
      <c r="D196" s="252"/>
    </row>
    <row r="197" spans="1:4" x14ac:dyDescent="0.35">
      <c r="A197" s="264">
        <v>63053390</v>
      </c>
      <c r="B197" s="252" t="s">
        <v>3421</v>
      </c>
      <c r="C197" s="252"/>
      <c r="D197" s="252"/>
    </row>
    <row r="198" spans="1:4" x14ac:dyDescent="0.35">
      <c r="A198" s="264">
        <v>76169900</v>
      </c>
      <c r="B198" s="252" t="s">
        <v>3421</v>
      </c>
      <c r="C198" s="252"/>
      <c r="D198" s="252"/>
    </row>
    <row r="199" spans="1:4" x14ac:dyDescent="0.35">
      <c r="A199" s="264">
        <v>84135090</v>
      </c>
      <c r="B199" s="252" t="s">
        <v>3421</v>
      </c>
      <c r="C199" s="252"/>
      <c r="D199" s="252"/>
    </row>
    <row r="200" spans="1:4" x14ac:dyDescent="0.35">
      <c r="A200" s="264">
        <v>84138100</v>
      </c>
      <c r="B200" s="252" t="s">
        <v>3421</v>
      </c>
      <c r="C200" s="252"/>
      <c r="D200" s="252"/>
    </row>
    <row r="201" spans="1:4" x14ac:dyDescent="0.35">
      <c r="A201" s="264">
        <v>84158210</v>
      </c>
      <c r="B201" s="252" t="s">
        <v>3421</v>
      </c>
      <c r="C201" s="252"/>
      <c r="D201" s="252"/>
    </row>
    <row r="202" spans="1:4" x14ac:dyDescent="0.35">
      <c r="A202" s="264">
        <v>84185010</v>
      </c>
      <c r="B202" s="252" t="s">
        <v>3421</v>
      </c>
      <c r="C202" s="252"/>
      <c r="D202" s="252"/>
    </row>
    <row r="203" spans="1:4" x14ac:dyDescent="0.35">
      <c r="A203" s="264">
        <v>84272090</v>
      </c>
      <c r="B203" s="252" t="s">
        <v>3421</v>
      </c>
      <c r="C203" s="252"/>
      <c r="D203" s="252"/>
    </row>
    <row r="204" spans="1:4" x14ac:dyDescent="0.35">
      <c r="A204" s="264">
        <v>84433299</v>
      </c>
      <c r="B204" s="252" t="s">
        <v>3421</v>
      </c>
      <c r="C204" s="252"/>
      <c r="D204" s="252"/>
    </row>
    <row r="205" spans="1:4" x14ac:dyDescent="0.35">
      <c r="A205" s="264">
        <v>84719011</v>
      </c>
      <c r="B205" s="252" t="s">
        <v>3421</v>
      </c>
      <c r="C205" s="252"/>
      <c r="D205" s="252"/>
    </row>
    <row r="206" spans="1:4" x14ac:dyDescent="0.35">
      <c r="A206" s="264">
        <v>85044010</v>
      </c>
      <c r="B206" s="252" t="s">
        <v>3421</v>
      </c>
      <c r="C206" s="252"/>
      <c r="D206" s="252"/>
    </row>
    <row r="207" spans="1:4" x14ac:dyDescent="0.35">
      <c r="A207" s="264">
        <v>85078000</v>
      </c>
      <c r="B207" s="252" t="s">
        <v>3421</v>
      </c>
      <c r="C207" s="252"/>
      <c r="D207" s="252"/>
    </row>
    <row r="208" spans="1:4" x14ac:dyDescent="0.35">
      <c r="A208" s="264">
        <v>85171830</v>
      </c>
      <c r="B208" s="252" t="s">
        <v>3421</v>
      </c>
      <c r="C208" s="252"/>
      <c r="D208" s="252"/>
    </row>
    <row r="209" spans="1:4" x14ac:dyDescent="0.35">
      <c r="A209" s="264">
        <v>85176256</v>
      </c>
      <c r="B209" s="252" t="s">
        <v>3421</v>
      </c>
      <c r="C209" s="252"/>
      <c r="D209" s="252"/>
    </row>
    <row r="210" spans="1:4" x14ac:dyDescent="0.35">
      <c r="A210" s="264">
        <v>86090000</v>
      </c>
      <c r="B210" s="252" t="s">
        <v>3421</v>
      </c>
      <c r="C210" s="252"/>
      <c r="D210" s="252"/>
    </row>
    <row r="211" spans="1:4" x14ac:dyDescent="0.35">
      <c r="A211" s="264">
        <v>87168000</v>
      </c>
      <c r="B211" s="252" t="s">
        <v>3421</v>
      </c>
      <c r="C211" s="252"/>
      <c r="D211" s="252"/>
    </row>
    <row r="212" spans="1:4" x14ac:dyDescent="0.35">
      <c r="A212" s="264">
        <v>90261011</v>
      </c>
      <c r="B212" s="252" t="s">
        <v>3421</v>
      </c>
      <c r="C212" s="252"/>
      <c r="D212" s="252"/>
    </row>
    <row r="213" spans="1:4" x14ac:dyDescent="0.35">
      <c r="A213" s="264">
        <v>90271000</v>
      </c>
      <c r="B213" s="252" t="s">
        <v>3421</v>
      </c>
      <c r="C213" s="252"/>
      <c r="D213" s="252"/>
    </row>
    <row r="214" spans="1:4" x14ac:dyDescent="0.35">
      <c r="A214" s="264">
        <v>90279099</v>
      </c>
      <c r="B214" s="252" t="s">
        <v>3421</v>
      </c>
      <c r="C214" s="252"/>
      <c r="D214" s="252"/>
    </row>
    <row r="215" spans="1:4" x14ac:dyDescent="0.35">
      <c r="A215" s="264">
        <v>94054010</v>
      </c>
      <c r="B215" s="252" t="s">
        <v>3421</v>
      </c>
      <c r="C215" s="252"/>
      <c r="D215" s="252"/>
    </row>
    <row r="216" spans="1:4" x14ac:dyDescent="0.35">
      <c r="A216" s="264">
        <v>90271000</v>
      </c>
      <c r="B216" s="252" t="s">
        <v>3422</v>
      </c>
      <c r="C216" s="252"/>
      <c r="D216" s="252"/>
    </row>
    <row r="217" spans="1:4" x14ac:dyDescent="0.35">
      <c r="A217" s="264">
        <v>29051100</v>
      </c>
      <c r="B217" s="252" t="s">
        <v>3423</v>
      </c>
      <c r="C217" s="252"/>
      <c r="D217" s="252"/>
    </row>
    <row r="218" spans="1:4" x14ac:dyDescent="0.35">
      <c r="A218" s="264">
        <v>22072019</v>
      </c>
      <c r="B218" s="252" t="s">
        <v>3424</v>
      </c>
      <c r="C218" s="252"/>
      <c r="D218" s="252"/>
    </row>
    <row r="219" spans="1:4" x14ac:dyDescent="0.35">
      <c r="A219" s="264">
        <v>28100010</v>
      </c>
      <c r="B219" s="252" t="s">
        <v>3424</v>
      </c>
      <c r="C219" s="252"/>
      <c r="D219" s="252"/>
    </row>
    <row r="220" spans="1:4" x14ac:dyDescent="0.35">
      <c r="A220" s="264">
        <v>28321010</v>
      </c>
      <c r="B220" s="252" t="s">
        <v>3424</v>
      </c>
      <c r="C220" s="252"/>
      <c r="D220" s="252"/>
    </row>
    <row r="221" spans="1:4" x14ac:dyDescent="0.35">
      <c r="A221" s="264">
        <v>28321090</v>
      </c>
      <c r="B221" s="252" t="s">
        <v>3424</v>
      </c>
      <c r="C221" s="252"/>
      <c r="D221" s="252"/>
    </row>
    <row r="222" spans="1:4" x14ac:dyDescent="0.35">
      <c r="A222" s="264">
        <v>29051210</v>
      </c>
      <c r="B222" s="252" t="s">
        <v>3424</v>
      </c>
      <c r="C222" s="252"/>
      <c r="D222" s="252"/>
    </row>
    <row r="223" spans="1:4" x14ac:dyDescent="0.35">
      <c r="A223" s="264">
        <v>29051410</v>
      </c>
      <c r="B223" s="252" t="s">
        <v>3424</v>
      </c>
      <c r="C223" s="252"/>
      <c r="D223" s="252"/>
    </row>
    <row r="224" spans="1:4" x14ac:dyDescent="0.35">
      <c r="A224" s="264">
        <v>29051600</v>
      </c>
      <c r="B224" s="252" t="s">
        <v>3424</v>
      </c>
      <c r="C224" s="252"/>
      <c r="D224" s="252"/>
    </row>
    <row r="225" spans="1:4" x14ac:dyDescent="0.35">
      <c r="A225" s="264">
        <v>29051993</v>
      </c>
      <c r="B225" s="252" t="s">
        <v>3424</v>
      </c>
      <c r="C225" s="252"/>
      <c r="D225" s="252"/>
    </row>
    <row r="226" spans="1:4" x14ac:dyDescent="0.35">
      <c r="A226" s="264">
        <v>29053200</v>
      </c>
      <c r="B226" s="252" t="s">
        <v>3424</v>
      </c>
      <c r="C226" s="252"/>
      <c r="D226" s="252"/>
    </row>
    <row r="227" spans="1:4" x14ac:dyDescent="0.35">
      <c r="A227" s="264">
        <v>29054100</v>
      </c>
      <c r="B227" s="252" t="s">
        <v>3424</v>
      </c>
      <c r="C227" s="252"/>
      <c r="D227" s="252"/>
    </row>
    <row r="228" spans="1:4" x14ac:dyDescent="0.35">
      <c r="A228" s="264">
        <v>29054400</v>
      </c>
      <c r="B228" s="252" t="s">
        <v>3424</v>
      </c>
      <c r="C228" s="252"/>
      <c r="D228" s="252"/>
    </row>
    <row r="229" spans="1:4" x14ac:dyDescent="0.35">
      <c r="A229" s="264">
        <v>29072300</v>
      </c>
      <c r="B229" s="252" t="s">
        <v>3424</v>
      </c>
      <c r="C229" s="252"/>
      <c r="D229" s="252"/>
    </row>
    <row r="230" spans="1:4" x14ac:dyDescent="0.35">
      <c r="A230" s="264">
        <v>29094100</v>
      </c>
      <c r="B230" s="252" t="s">
        <v>3424</v>
      </c>
      <c r="C230" s="252"/>
      <c r="D230" s="252"/>
    </row>
    <row r="231" spans="1:4" x14ac:dyDescent="0.35">
      <c r="A231" s="264">
        <v>29094310</v>
      </c>
      <c r="B231" s="252" t="s">
        <v>3424</v>
      </c>
      <c r="C231" s="252"/>
      <c r="D231" s="252"/>
    </row>
    <row r="232" spans="1:4" x14ac:dyDescent="0.35">
      <c r="A232" s="264">
        <v>29094421</v>
      </c>
      <c r="B232" s="252" t="s">
        <v>3424</v>
      </c>
      <c r="C232" s="252"/>
      <c r="D232" s="252"/>
    </row>
    <row r="233" spans="1:4" x14ac:dyDescent="0.35">
      <c r="A233" s="264">
        <v>29094931</v>
      </c>
      <c r="B233" s="252" t="s">
        <v>3424</v>
      </c>
      <c r="C233" s="252"/>
      <c r="D233" s="252"/>
    </row>
    <row r="234" spans="1:4" x14ac:dyDescent="0.35">
      <c r="A234" s="264">
        <v>29126000</v>
      </c>
      <c r="B234" s="252" t="s">
        <v>3424</v>
      </c>
      <c r="C234" s="252"/>
      <c r="D234" s="252"/>
    </row>
    <row r="235" spans="1:4" x14ac:dyDescent="0.35">
      <c r="A235" s="264">
        <v>29152100</v>
      </c>
      <c r="B235" s="252" t="s">
        <v>3424</v>
      </c>
      <c r="C235" s="252"/>
      <c r="D235" s="252"/>
    </row>
    <row r="236" spans="1:4" x14ac:dyDescent="0.35">
      <c r="A236" s="264">
        <v>29153931</v>
      </c>
      <c r="B236" s="252" t="s">
        <v>3424</v>
      </c>
      <c r="C236" s="252"/>
      <c r="D236" s="252"/>
    </row>
    <row r="237" spans="1:4" x14ac:dyDescent="0.35">
      <c r="A237" s="264">
        <v>29153939</v>
      </c>
      <c r="B237" s="252" t="s">
        <v>3424</v>
      </c>
      <c r="C237" s="252"/>
      <c r="D237" s="252"/>
    </row>
    <row r="238" spans="1:4" x14ac:dyDescent="0.35">
      <c r="A238" s="264">
        <v>29154020</v>
      </c>
      <c r="B238" s="252" t="s">
        <v>3424</v>
      </c>
      <c r="C238" s="252"/>
      <c r="D238" s="252"/>
    </row>
    <row r="239" spans="1:4" x14ac:dyDescent="0.35">
      <c r="A239" s="264">
        <v>29211999</v>
      </c>
      <c r="B239" s="252" t="s">
        <v>3424</v>
      </c>
      <c r="C239" s="252"/>
      <c r="D239" s="252"/>
    </row>
    <row r="240" spans="1:4" x14ac:dyDescent="0.35">
      <c r="A240" s="264">
        <v>29212990</v>
      </c>
      <c r="B240" s="252" t="s">
        <v>3424</v>
      </c>
      <c r="C240" s="252"/>
      <c r="D240" s="252"/>
    </row>
    <row r="241" spans="1:4" x14ac:dyDescent="0.35">
      <c r="A241" s="264">
        <v>29213011</v>
      </c>
      <c r="B241" s="252" t="s">
        <v>3424</v>
      </c>
      <c r="C241" s="252"/>
      <c r="D241" s="252"/>
    </row>
    <row r="242" spans="1:4" x14ac:dyDescent="0.35">
      <c r="A242" s="264">
        <v>34023100</v>
      </c>
      <c r="B242" s="252" t="s">
        <v>3424</v>
      </c>
      <c r="C242" s="252"/>
      <c r="D242" s="252"/>
    </row>
    <row r="243" spans="1:4" x14ac:dyDescent="0.35">
      <c r="A243" s="264">
        <v>34023990</v>
      </c>
      <c r="B243" s="252" t="s">
        <v>3424</v>
      </c>
      <c r="C243" s="252"/>
      <c r="D243" s="252"/>
    </row>
    <row r="244" spans="1:4" x14ac:dyDescent="0.35">
      <c r="A244" s="264">
        <v>34024200</v>
      </c>
      <c r="B244" s="252" t="s">
        <v>3424</v>
      </c>
      <c r="C244" s="252"/>
      <c r="D244" s="252"/>
    </row>
    <row r="245" spans="1:4" x14ac:dyDescent="0.35">
      <c r="A245" s="264">
        <v>34029029</v>
      </c>
      <c r="B245" s="252" t="s">
        <v>3424</v>
      </c>
      <c r="C245" s="252"/>
      <c r="D245" s="252"/>
    </row>
    <row r="246" spans="1:4" x14ac:dyDescent="0.35">
      <c r="A246" s="264">
        <v>38231200</v>
      </c>
      <c r="B246" s="252" t="s">
        <v>3424</v>
      </c>
      <c r="C246" s="252"/>
      <c r="D246" s="252"/>
    </row>
    <row r="247" spans="1:4" x14ac:dyDescent="0.35">
      <c r="A247" s="264">
        <v>38231990</v>
      </c>
      <c r="B247" s="252" t="s">
        <v>3424</v>
      </c>
      <c r="C247" s="252"/>
      <c r="D247" s="252"/>
    </row>
    <row r="248" spans="1:4" x14ac:dyDescent="0.35">
      <c r="A248" s="264">
        <v>38237010</v>
      </c>
      <c r="B248" s="252" t="s">
        <v>3424</v>
      </c>
      <c r="C248" s="252"/>
      <c r="D248" s="252"/>
    </row>
    <row r="249" spans="1:4" x14ac:dyDescent="0.35">
      <c r="A249" s="264">
        <v>38237020</v>
      </c>
      <c r="B249" s="252" t="s">
        <v>3424</v>
      </c>
      <c r="C249" s="252"/>
      <c r="D249" s="252"/>
    </row>
    <row r="250" spans="1:4" x14ac:dyDescent="0.35">
      <c r="A250" s="264">
        <v>38237090</v>
      </c>
      <c r="B250" s="252" t="s">
        <v>3424</v>
      </c>
      <c r="C250" s="252"/>
      <c r="D250" s="252"/>
    </row>
    <row r="251" spans="1:4" x14ac:dyDescent="0.35">
      <c r="A251" s="264">
        <v>38249929</v>
      </c>
      <c r="B251" s="252" t="s">
        <v>3424</v>
      </c>
      <c r="C251" s="252"/>
      <c r="D251" s="252"/>
    </row>
    <row r="252" spans="1:4" x14ac:dyDescent="0.35">
      <c r="A252" s="264">
        <v>38249989</v>
      </c>
      <c r="B252" s="252" t="s">
        <v>3424</v>
      </c>
      <c r="C252" s="252"/>
      <c r="D252" s="252"/>
    </row>
    <row r="253" spans="1:4" x14ac:dyDescent="0.35">
      <c r="A253" s="264">
        <v>39072931</v>
      </c>
      <c r="B253" s="252" t="s">
        <v>3424</v>
      </c>
      <c r="C253" s="252"/>
      <c r="D253" s="252"/>
    </row>
    <row r="254" spans="1:4" x14ac:dyDescent="0.35">
      <c r="A254" s="264">
        <v>34011900</v>
      </c>
      <c r="B254" s="252" t="s">
        <v>3425</v>
      </c>
      <c r="C254" s="252"/>
      <c r="D254" s="252"/>
    </row>
    <row r="255" spans="1:4" x14ac:dyDescent="0.35">
      <c r="A255" s="264">
        <v>39159000</v>
      </c>
      <c r="B255" s="252" t="s">
        <v>3425</v>
      </c>
      <c r="C255" s="252"/>
      <c r="D255" s="252"/>
    </row>
    <row r="256" spans="1:4" x14ac:dyDescent="0.35">
      <c r="A256" s="264">
        <v>39172300</v>
      </c>
      <c r="B256" s="252" t="s">
        <v>3425</v>
      </c>
      <c r="C256" s="252"/>
      <c r="D256" s="252"/>
    </row>
    <row r="257" spans="1:4" x14ac:dyDescent="0.35">
      <c r="A257" s="264">
        <v>39235000</v>
      </c>
      <c r="B257" s="252" t="s">
        <v>3425</v>
      </c>
      <c r="C257" s="252"/>
      <c r="D257" s="252"/>
    </row>
    <row r="258" spans="1:4" x14ac:dyDescent="0.35">
      <c r="A258" s="264">
        <v>40151900</v>
      </c>
      <c r="B258" s="252" t="s">
        <v>3425</v>
      </c>
      <c r="C258" s="252"/>
      <c r="D258" s="252"/>
    </row>
    <row r="259" spans="1:4" x14ac:dyDescent="0.35">
      <c r="A259" s="264">
        <v>40169300</v>
      </c>
      <c r="B259" s="252" t="s">
        <v>3425</v>
      </c>
      <c r="C259" s="252"/>
      <c r="D259" s="252"/>
    </row>
    <row r="260" spans="1:4" x14ac:dyDescent="0.35">
      <c r="A260" s="264">
        <v>40170000</v>
      </c>
      <c r="B260" s="252" t="s">
        <v>3425</v>
      </c>
      <c r="C260" s="252"/>
      <c r="D260" s="252"/>
    </row>
    <row r="261" spans="1:4" x14ac:dyDescent="0.35">
      <c r="A261" s="264">
        <v>67030000</v>
      </c>
      <c r="B261" s="252" t="s">
        <v>3425</v>
      </c>
      <c r="C261" s="252"/>
      <c r="D261" s="252"/>
    </row>
    <row r="262" spans="1:4" x14ac:dyDescent="0.35">
      <c r="A262" s="264">
        <v>70172000</v>
      </c>
      <c r="B262" s="252" t="s">
        <v>3425</v>
      </c>
      <c r="C262" s="252"/>
      <c r="D262" s="252"/>
    </row>
    <row r="263" spans="1:4" x14ac:dyDescent="0.35">
      <c r="A263" s="264">
        <v>70179000</v>
      </c>
      <c r="B263" s="252" t="s">
        <v>3425</v>
      </c>
      <c r="C263" s="252"/>
      <c r="D263" s="252"/>
    </row>
    <row r="264" spans="1:4" x14ac:dyDescent="0.35">
      <c r="A264" s="264">
        <v>73029000</v>
      </c>
      <c r="B264" s="252" t="s">
        <v>3425</v>
      </c>
      <c r="C264" s="252"/>
      <c r="D264" s="252"/>
    </row>
    <row r="265" spans="1:4" x14ac:dyDescent="0.35">
      <c r="A265" s="264">
        <v>73041900</v>
      </c>
      <c r="B265" s="252" t="s">
        <v>3425</v>
      </c>
      <c r="C265" s="252"/>
      <c r="D265" s="252"/>
    </row>
    <row r="266" spans="1:4" x14ac:dyDescent="0.35">
      <c r="A266" s="264">
        <v>73071920</v>
      </c>
      <c r="B266" s="252" t="s">
        <v>3425</v>
      </c>
      <c r="C266" s="252"/>
      <c r="D266" s="252"/>
    </row>
    <row r="267" spans="1:4" x14ac:dyDescent="0.35">
      <c r="A267" s="264">
        <v>73079100</v>
      </c>
      <c r="B267" s="252" t="s">
        <v>3425</v>
      </c>
      <c r="C267" s="252"/>
      <c r="D267" s="252"/>
    </row>
    <row r="268" spans="1:4" x14ac:dyDescent="0.35">
      <c r="A268" s="264">
        <v>73079300</v>
      </c>
      <c r="B268" s="252" t="s">
        <v>3425</v>
      </c>
      <c r="C268" s="252"/>
      <c r="D268" s="252"/>
    </row>
    <row r="269" spans="1:4" x14ac:dyDescent="0.35">
      <c r="A269" s="264">
        <v>73089090</v>
      </c>
      <c r="B269" s="252" t="s">
        <v>3425</v>
      </c>
      <c r="C269" s="252"/>
      <c r="D269" s="252"/>
    </row>
    <row r="270" spans="1:4" x14ac:dyDescent="0.35">
      <c r="A270" s="264">
        <v>73090090</v>
      </c>
      <c r="B270" s="252" t="s">
        <v>3425</v>
      </c>
      <c r="C270" s="252"/>
      <c r="D270" s="252"/>
    </row>
    <row r="271" spans="1:4" x14ac:dyDescent="0.35">
      <c r="A271" s="264">
        <v>73110000</v>
      </c>
      <c r="B271" s="252" t="s">
        <v>3425</v>
      </c>
      <c r="C271" s="252"/>
      <c r="D271" s="252"/>
    </row>
    <row r="272" spans="1:4" x14ac:dyDescent="0.35">
      <c r="A272" s="264">
        <v>73181500</v>
      </c>
      <c r="B272" s="252" t="s">
        <v>3425</v>
      </c>
      <c r="C272" s="252"/>
      <c r="D272" s="252"/>
    </row>
    <row r="273" spans="1:4" x14ac:dyDescent="0.35">
      <c r="A273" s="264">
        <v>73202010</v>
      </c>
      <c r="B273" s="252" t="s">
        <v>3425</v>
      </c>
      <c r="C273" s="252"/>
      <c r="D273" s="252"/>
    </row>
    <row r="274" spans="1:4" x14ac:dyDescent="0.35">
      <c r="A274" s="264">
        <v>73209000</v>
      </c>
      <c r="B274" s="252" t="s">
        <v>3425</v>
      </c>
      <c r="C274" s="252"/>
      <c r="D274" s="252"/>
    </row>
    <row r="275" spans="1:4" x14ac:dyDescent="0.35">
      <c r="A275" s="264">
        <v>76130000</v>
      </c>
      <c r="B275" s="252" t="s">
        <v>3425</v>
      </c>
      <c r="C275" s="252"/>
      <c r="D275" s="252"/>
    </row>
    <row r="276" spans="1:4" x14ac:dyDescent="0.35">
      <c r="A276" s="264">
        <v>76169900</v>
      </c>
      <c r="B276" s="252" t="s">
        <v>3425</v>
      </c>
      <c r="C276" s="252"/>
      <c r="D276" s="252"/>
    </row>
    <row r="277" spans="1:4" x14ac:dyDescent="0.35">
      <c r="A277" s="264">
        <v>82055900</v>
      </c>
      <c r="B277" s="252" t="s">
        <v>3425</v>
      </c>
      <c r="C277" s="252"/>
      <c r="D277" s="252"/>
    </row>
    <row r="278" spans="1:4" x14ac:dyDescent="0.35">
      <c r="A278" s="264">
        <v>82060000</v>
      </c>
      <c r="B278" s="252" t="s">
        <v>3425</v>
      </c>
      <c r="C278" s="252"/>
      <c r="D278" s="252"/>
    </row>
    <row r="279" spans="1:4" x14ac:dyDescent="0.35">
      <c r="A279" s="264">
        <v>84135090</v>
      </c>
      <c r="B279" s="252" t="s">
        <v>3425</v>
      </c>
      <c r="C279" s="252"/>
      <c r="D279" s="252"/>
    </row>
    <row r="280" spans="1:4" x14ac:dyDescent="0.35">
      <c r="A280" s="264">
        <v>84137010</v>
      </c>
      <c r="B280" s="252" t="s">
        <v>3425</v>
      </c>
      <c r="C280" s="252"/>
      <c r="D280" s="252"/>
    </row>
    <row r="281" spans="1:4" x14ac:dyDescent="0.35">
      <c r="A281" s="264">
        <v>84137080</v>
      </c>
      <c r="B281" s="252" t="s">
        <v>3425</v>
      </c>
      <c r="C281" s="252"/>
      <c r="D281" s="252"/>
    </row>
    <row r="282" spans="1:4" x14ac:dyDescent="0.35">
      <c r="A282" s="264">
        <v>84137090</v>
      </c>
      <c r="B282" s="252" t="s">
        <v>3425</v>
      </c>
      <c r="C282" s="252"/>
      <c r="D282" s="252"/>
    </row>
    <row r="283" spans="1:4" x14ac:dyDescent="0.35">
      <c r="A283" s="264">
        <v>84138100</v>
      </c>
      <c r="B283" s="252" t="s">
        <v>3425</v>
      </c>
      <c r="C283" s="252"/>
      <c r="D283" s="252"/>
    </row>
    <row r="284" spans="1:4" x14ac:dyDescent="0.35">
      <c r="A284" s="264">
        <v>84139190</v>
      </c>
      <c r="B284" s="252" t="s">
        <v>3425</v>
      </c>
      <c r="C284" s="252"/>
      <c r="D284" s="252"/>
    </row>
    <row r="285" spans="1:4" x14ac:dyDescent="0.35">
      <c r="A285" s="264">
        <v>84141000</v>
      </c>
      <c r="B285" s="252" t="s">
        <v>3425</v>
      </c>
      <c r="C285" s="252"/>
      <c r="D285" s="252"/>
    </row>
    <row r="286" spans="1:4" x14ac:dyDescent="0.35">
      <c r="A286" s="264">
        <v>84145990</v>
      </c>
      <c r="B286" s="252" t="s">
        <v>3425</v>
      </c>
      <c r="C286" s="252"/>
      <c r="D286" s="252"/>
    </row>
    <row r="287" spans="1:4" x14ac:dyDescent="0.35">
      <c r="A287" s="264">
        <v>84148013</v>
      </c>
      <c r="B287" s="252" t="s">
        <v>3425</v>
      </c>
      <c r="C287" s="252"/>
      <c r="D287" s="252"/>
    </row>
    <row r="288" spans="1:4" x14ac:dyDescent="0.35">
      <c r="A288" s="264">
        <v>84148031</v>
      </c>
      <c r="B288" s="252" t="s">
        <v>3425</v>
      </c>
      <c r="C288" s="252"/>
      <c r="D288" s="252"/>
    </row>
    <row r="289" spans="1:4" x14ac:dyDescent="0.35">
      <c r="A289" s="264">
        <v>84198999</v>
      </c>
      <c r="B289" s="252" t="s">
        <v>3425</v>
      </c>
      <c r="C289" s="252"/>
      <c r="D289" s="252"/>
    </row>
    <row r="290" spans="1:4" x14ac:dyDescent="0.35">
      <c r="A290" s="264">
        <v>84211910</v>
      </c>
      <c r="B290" s="252" t="s">
        <v>3425</v>
      </c>
      <c r="C290" s="252"/>
      <c r="D290" s="252"/>
    </row>
    <row r="291" spans="1:4" x14ac:dyDescent="0.35">
      <c r="A291" s="264">
        <v>84219999</v>
      </c>
      <c r="B291" s="252" t="s">
        <v>3425</v>
      </c>
      <c r="C291" s="252"/>
      <c r="D291" s="252"/>
    </row>
    <row r="292" spans="1:4" x14ac:dyDescent="0.35">
      <c r="A292" s="264">
        <v>84239010</v>
      </c>
      <c r="B292" s="252" t="s">
        <v>3425</v>
      </c>
      <c r="C292" s="252"/>
      <c r="D292" s="252"/>
    </row>
    <row r="293" spans="1:4" x14ac:dyDescent="0.35">
      <c r="A293" s="264">
        <v>84239029</v>
      </c>
      <c r="B293" s="252" t="s">
        <v>3425</v>
      </c>
      <c r="C293" s="252"/>
      <c r="D293" s="252"/>
    </row>
    <row r="294" spans="1:4" x14ac:dyDescent="0.35">
      <c r="A294" s="264">
        <v>84241000</v>
      </c>
      <c r="B294" s="252" t="s">
        <v>3425</v>
      </c>
      <c r="C294" s="252"/>
      <c r="D294" s="252"/>
    </row>
    <row r="295" spans="1:4" x14ac:dyDescent="0.35">
      <c r="A295" s="264">
        <v>84243090</v>
      </c>
      <c r="B295" s="252" t="s">
        <v>3425</v>
      </c>
      <c r="C295" s="252"/>
      <c r="D295" s="252"/>
    </row>
    <row r="296" spans="1:4" x14ac:dyDescent="0.35">
      <c r="A296" s="264">
        <v>84251100</v>
      </c>
      <c r="B296" s="252" t="s">
        <v>3425</v>
      </c>
      <c r="C296" s="252"/>
      <c r="D296" s="252"/>
    </row>
    <row r="297" spans="1:4" x14ac:dyDescent="0.35">
      <c r="A297" s="264">
        <v>84253990</v>
      </c>
      <c r="B297" s="252" t="s">
        <v>3425</v>
      </c>
      <c r="C297" s="252"/>
      <c r="D297" s="252"/>
    </row>
    <row r="298" spans="1:4" x14ac:dyDescent="0.35">
      <c r="A298" s="264">
        <v>84272090</v>
      </c>
      <c r="B298" s="252" t="s">
        <v>3425</v>
      </c>
      <c r="C298" s="252"/>
      <c r="D298" s="252"/>
    </row>
    <row r="299" spans="1:4" x14ac:dyDescent="0.35">
      <c r="A299" s="264">
        <v>84659290</v>
      </c>
      <c r="B299" s="252" t="s">
        <v>3425</v>
      </c>
      <c r="C299" s="252"/>
      <c r="D299" s="252"/>
    </row>
    <row r="300" spans="1:4" x14ac:dyDescent="0.35">
      <c r="A300" s="264">
        <v>84659400</v>
      </c>
      <c r="B300" s="252" t="s">
        <v>3425</v>
      </c>
      <c r="C300" s="252"/>
      <c r="D300" s="252"/>
    </row>
    <row r="301" spans="1:4" x14ac:dyDescent="0.35">
      <c r="A301" s="264">
        <v>84671900</v>
      </c>
      <c r="B301" s="252" t="s">
        <v>3425</v>
      </c>
      <c r="C301" s="252"/>
      <c r="D301" s="252"/>
    </row>
    <row r="302" spans="1:4" x14ac:dyDescent="0.35">
      <c r="A302" s="264">
        <v>84735035</v>
      </c>
      <c r="B302" s="252" t="s">
        <v>3425</v>
      </c>
      <c r="C302" s="252"/>
      <c r="D302" s="252"/>
    </row>
    <row r="303" spans="1:4" x14ac:dyDescent="0.35">
      <c r="A303" s="264">
        <v>84798210</v>
      </c>
      <c r="B303" s="252" t="s">
        <v>3425</v>
      </c>
      <c r="C303" s="252"/>
      <c r="D303" s="252"/>
    </row>
    <row r="304" spans="1:4" x14ac:dyDescent="0.35">
      <c r="A304" s="264">
        <v>84798999</v>
      </c>
      <c r="B304" s="252" t="s">
        <v>3425</v>
      </c>
      <c r="C304" s="252"/>
      <c r="D304" s="252"/>
    </row>
    <row r="305" spans="1:4" x14ac:dyDescent="0.35">
      <c r="A305" s="264">
        <v>84813000</v>
      </c>
      <c r="B305" s="252" t="s">
        <v>3425</v>
      </c>
      <c r="C305" s="252"/>
      <c r="D305" s="252"/>
    </row>
    <row r="306" spans="1:4" x14ac:dyDescent="0.35">
      <c r="A306" s="264">
        <v>84814000</v>
      </c>
      <c r="B306" s="252" t="s">
        <v>3425</v>
      </c>
      <c r="C306" s="252"/>
      <c r="D306" s="252"/>
    </row>
    <row r="307" spans="1:4" x14ac:dyDescent="0.35">
      <c r="A307" s="264">
        <v>84818094</v>
      </c>
      <c r="B307" s="252" t="s">
        <v>3425</v>
      </c>
      <c r="C307" s="252"/>
      <c r="D307" s="252"/>
    </row>
    <row r="308" spans="1:4" x14ac:dyDescent="0.35">
      <c r="A308" s="264">
        <v>84818095</v>
      </c>
      <c r="B308" s="252" t="s">
        <v>3425</v>
      </c>
      <c r="C308" s="252"/>
      <c r="D308" s="252"/>
    </row>
    <row r="309" spans="1:4" x14ac:dyDescent="0.35">
      <c r="A309" s="264">
        <v>84818096</v>
      </c>
      <c r="B309" s="252" t="s">
        <v>3425</v>
      </c>
      <c r="C309" s="252"/>
      <c r="D309" s="252"/>
    </row>
    <row r="310" spans="1:4" x14ac:dyDescent="0.35">
      <c r="A310" s="264">
        <v>84818097</v>
      </c>
      <c r="B310" s="252" t="s">
        <v>3425</v>
      </c>
      <c r="C310" s="252"/>
      <c r="D310" s="252"/>
    </row>
    <row r="311" spans="1:4" x14ac:dyDescent="0.35">
      <c r="A311" s="264">
        <v>84829990</v>
      </c>
      <c r="B311" s="252" t="s">
        <v>3425</v>
      </c>
      <c r="C311" s="252"/>
      <c r="D311" s="252"/>
    </row>
    <row r="312" spans="1:4" x14ac:dyDescent="0.35">
      <c r="A312" s="264">
        <v>84831090</v>
      </c>
      <c r="B312" s="252" t="s">
        <v>3425</v>
      </c>
      <c r="C312" s="252"/>
      <c r="D312" s="252"/>
    </row>
    <row r="313" spans="1:4" x14ac:dyDescent="0.35">
      <c r="A313" s="264">
        <v>84839000</v>
      </c>
      <c r="B313" s="252" t="s">
        <v>3425</v>
      </c>
      <c r="C313" s="252"/>
      <c r="D313" s="252"/>
    </row>
    <row r="314" spans="1:4" x14ac:dyDescent="0.35">
      <c r="A314" s="264">
        <v>84842000</v>
      </c>
      <c r="B314" s="252" t="s">
        <v>3425</v>
      </c>
      <c r="C314" s="252"/>
      <c r="D314" s="252"/>
    </row>
    <row r="315" spans="1:4" x14ac:dyDescent="0.35">
      <c r="A315" s="264">
        <v>85013110</v>
      </c>
      <c r="B315" s="252" t="s">
        <v>3425</v>
      </c>
      <c r="C315" s="252"/>
      <c r="D315" s="252"/>
    </row>
    <row r="316" spans="1:4" x14ac:dyDescent="0.35">
      <c r="A316" s="264">
        <v>85014019</v>
      </c>
      <c r="B316" s="252" t="s">
        <v>3425</v>
      </c>
      <c r="C316" s="252"/>
      <c r="D316" s="252"/>
    </row>
    <row r="317" spans="1:4" x14ac:dyDescent="0.35">
      <c r="A317" s="264">
        <v>85015210</v>
      </c>
      <c r="B317" s="252" t="s">
        <v>3425</v>
      </c>
      <c r="C317" s="252"/>
      <c r="D317" s="252"/>
    </row>
    <row r="318" spans="1:4" x14ac:dyDescent="0.35">
      <c r="A318" s="264">
        <v>85030090</v>
      </c>
      <c r="B318" s="252" t="s">
        <v>3425</v>
      </c>
      <c r="C318" s="252"/>
      <c r="D318" s="252"/>
    </row>
    <row r="319" spans="1:4" x14ac:dyDescent="0.35">
      <c r="A319" s="264">
        <v>85044010</v>
      </c>
      <c r="B319" s="252" t="s">
        <v>3425</v>
      </c>
      <c r="C319" s="252"/>
      <c r="D319" s="252"/>
    </row>
    <row r="320" spans="1:4" x14ac:dyDescent="0.35">
      <c r="A320" s="264">
        <v>85044029</v>
      </c>
      <c r="B320" s="252" t="s">
        <v>3425</v>
      </c>
      <c r="C320" s="252"/>
      <c r="D320" s="252"/>
    </row>
    <row r="321" spans="1:4" x14ac:dyDescent="0.35">
      <c r="A321" s="264">
        <v>85044040</v>
      </c>
      <c r="B321" s="252" t="s">
        <v>3425</v>
      </c>
      <c r="C321" s="252"/>
      <c r="D321" s="252"/>
    </row>
    <row r="322" spans="1:4" x14ac:dyDescent="0.35">
      <c r="A322" s="264">
        <v>85044050</v>
      </c>
      <c r="B322" s="252" t="s">
        <v>3425</v>
      </c>
      <c r="C322" s="252"/>
      <c r="D322" s="252"/>
    </row>
    <row r="323" spans="1:4" x14ac:dyDescent="0.35">
      <c r="A323" s="264">
        <v>85051100</v>
      </c>
      <c r="B323" s="252" t="s">
        <v>3425</v>
      </c>
      <c r="C323" s="252"/>
      <c r="D323" s="252"/>
    </row>
    <row r="324" spans="1:4" x14ac:dyDescent="0.35">
      <c r="A324" s="264">
        <v>85359090</v>
      </c>
      <c r="B324" s="252" t="s">
        <v>3425</v>
      </c>
      <c r="C324" s="252"/>
      <c r="D324" s="252"/>
    </row>
    <row r="325" spans="1:4" x14ac:dyDescent="0.35">
      <c r="A325" s="264">
        <v>85369090</v>
      </c>
      <c r="B325" s="252" t="s">
        <v>3425</v>
      </c>
      <c r="C325" s="252"/>
      <c r="D325" s="252"/>
    </row>
    <row r="326" spans="1:4" x14ac:dyDescent="0.35">
      <c r="A326" s="264">
        <v>85371090</v>
      </c>
      <c r="B326" s="252" t="s">
        <v>3425</v>
      </c>
      <c r="C326" s="252"/>
      <c r="D326" s="252"/>
    </row>
    <row r="327" spans="1:4" x14ac:dyDescent="0.35">
      <c r="A327" s="264">
        <v>85389010</v>
      </c>
      <c r="B327" s="252" t="s">
        <v>3425</v>
      </c>
      <c r="C327" s="252"/>
      <c r="D327" s="252"/>
    </row>
    <row r="328" spans="1:4" x14ac:dyDescent="0.35">
      <c r="A328" s="264">
        <v>87120010</v>
      </c>
      <c r="B328" s="252" t="s">
        <v>3425</v>
      </c>
      <c r="C328" s="252"/>
      <c r="D328" s="252"/>
    </row>
    <row r="329" spans="1:4" x14ac:dyDescent="0.35">
      <c r="A329" s="264">
        <v>90160010</v>
      </c>
      <c r="B329" s="252" t="s">
        <v>3425</v>
      </c>
      <c r="C329" s="252"/>
      <c r="D329" s="252"/>
    </row>
    <row r="330" spans="1:4" x14ac:dyDescent="0.35">
      <c r="A330" s="264">
        <v>90173020</v>
      </c>
      <c r="B330" s="252" t="s">
        <v>3425</v>
      </c>
      <c r="C330" s="252"/>
      <c r="D330" s="252"/>
    </row>
    <row r="331" spans="1:4" x14ac:dyDescent="0.35">
      <c r="A331" s="264">
        <v>90249000</v>
      </c>
      <c r="B331" s="252" t="s">
        <v>3425</v>
      </c>
      <c r="C331" s="252"/>
      <c r="D331" s="252"/>
    </row>
    <row r="332" spans="1:4" x14ac:dyDescent="0.35">
      <c r="A332" s="264">
        <v>90251191</v>
      </c>
      <c r="B332" s="252" t="s">
        <v>3425</v>
      </c>
      <c r="C332" s="252"/>
      <c r="D332" s="252"/>
    </row>
    <row r="333" spans="1:4" x14ac:dyDescent="0.35">
      <c r="A333" s="264">
        <v>90251990</v>
      </c>
      <c r="B333" s="252" t="s">
        <v>3425</v>
      </c>
      <c r="C333" s="252"/>
      <c r="D333" s="252"/>
    </row>
    <row r="334" spans="1:4" x14ac:dyDescent="0.35">
      <c r="A334" s="264">
        <v>90258000</v>
      </c>
      <c r="B334" s="252" t="s">
        <v>3425</v>
      </c>
      <c r="C334" s="252"/>
      <c r="D334" s="252"/>
    </row>
    <row r="335" spans="1:4" x14ac:dyDescent="0.35">
      <c r="A335" s="264">
        <v>90259090</v>
      </c>
      <c r="B335" s="252" t="s">
        <v>3425</v>
      </c>
      <c r="C335" s="252"/>
      <c r="D335" s="252"/>
    </row>
    <row r="336" spans="1:4" x14ac:dyDescent="0.35">
      <c r="A336" s="264">
        <v>90261019</v>
      </c>
      <c r="B336" s="252" t="s">
        <v>3425</v>
      </c>
      <c r="C336" s="252"/>
      <c r="D336" s="252"/>
    </row>
    <row r="337" spans="1:4" x14ac:dyDescent="0.35">
      <c r="A337" s="264">
        <v>90261029</v>
      </c>
      <c r="B337" s="252" t="s">
        <v>3425</v>
      </c>
      <c r="C337" s="252"/>
      <c r="D337" s="252"/>
    </row>
    <row r="338" spans="1:4" x14ac:dyDescent="0.35">
      <c r="A338" s="264">
        <v>90262090</v>
      </c>
      <c r="B338" s="252" t="s">
        <v>3425</v>
      </c>
      <c r="C338" s="252"/>
      <c r="D338" s="252"/>
    </row>
    <row r="339" spans="1:4" x14ac:dyDescent="0.35">
      <c r="A339" s="264">
        <v>90275010</v>
      </c>
      <c r="B339" s="252" t="s">
        <v>3425</v>
      </c>
      <c r="C339" s="252"/>
      <c r="D339" s="252"/>
    </row>
    <row r="340" spans="1:4" x14ac:dyDescent="0.35">
      <c r="A340" s="264">
        <v>90278999</v>
      </c>
      <c r="B340" s="252" t="s">
        <v>3425</v>
      </c>
      <c r="C340" s="252"/>
      <c r="D340" s="252"/>
    </row>
    <row r="341" spans="1:4" x14ac:dyDescent="0.35">
      <c r="A341" s="264">
        <v>90279099</v>
      </c>
      <c r="B341" s="252" t="s">
        <v>3425</v>
      </c>
      <c r="C341" s="252"/>
      <c r="D341" s="252"/>
    </row>
    <row r="342" spans="1:4" x14ac:dyDescent="0.35">
      <c r="A342" s="264">
        <v>90303100</v>
      </c>
      <c r="B342" s="252" t="s">
        <v>3425</v>
      </c>
      <c r="C342" s="252"/>
      <c r="D342" s="252"/>
    </row>
    <row r="343" spans="1:4" x14ac:dyDescent="0.35">
      <c r="A343" s="264">
        <v>90303319</v>
      </c>
      <c r="B343" s="252" t="s">
        <v>3425</v>
      </c>
      <c r="C343" s="252"/>
      <c r="D343" s="252"/>
    </row>
    <row r="344" spans="1:4" x14ac:dyDescent="0.35">
      <c r="A344" s="264">
        <v>90318099</v>
      </c>
      <c r="B344" s="252" t="s">
        <v>3425</v>
      </c>
      <c r="C344" s="252"/>
      <c r="D344" s="252"/>
    </row>
    <row r="345" spans="1:4" x14ac:dyDescent="0.35">
      <c r="A345" s="264">
        <v>90328911</v>
      </c>
      <c r="B345" s="252" t="s">
        <v>3425</v>
      </c>
      <c r="C345" s="252"/>
      <c r="D345" s="252"/>
    </row>
    <row r="346" spans="1:4" x14ac:dyDescent="0.35">
      <c r="A346" s="264">
        <v>90328982</v>
      </c>
      <c r="B346" s="252" t="s">
        <v>3425</v>
      </c>
      <c r="C346" s="252"/>
      <c r="D346" s="252"/>
    </row>
    <row r="347" spans="1:4" x14ac:dyDescent="0.35">
      <c r="A347" s="264">
        <v>91069000</v>
      </c>
      <c r="B347" s="252" t="s">
        <v>3425</v>
      </c>
      <c r="C347" s="252"/>
      <c r="D347" s="252"/>
    </row>
    <row r="348" spans="1:4" x14ac:dyDescent="0.35">
      <c r="A348" s="264">
        <v>94054100</v>
      </c>
      <c r="B348" s="252" t="s">
        <v>3425</v>
      </c>
      <c r="C348" s="252"/>
      <c r="D348" s="252"/>
    </row>
    <row r="349" spans="1:4" x14ac:dyDescent="0.35">
      <c r="A349" s="264">
        <v>22072019</v>
      </c>
      <c r="B349" s="252" t="s">
        <v>3426</v>
      </c>
      <c r="C349" s="252"/>
      <c r="D349" s="252"/>
    </row>
    <row r="350" spans="1:4" x14ac:dyDescent="0.35">
      <c r="A350" s="264">
        <v>27101931</v>
      </c>
      <c r="B350" s="252" t="s">
        <v>3426</v>
      </c>
      <c r="C350" s="252"/>
      <c r="D350" s="252"/>
    </row>
    <row r="351" spans="1:4" x14ac:dyDescent="0.35">
      <c r="A351" s="264">
        <v>27101991</v>
      </c>
      <c r="B351" s="252" t="s">
        <v>3426</v>
      </c>
      <c r="C351" s="252"/>
      <c r="D351" s="252"/>
    </row>
    <row r="352" spans="1:4" x14ac:dyDescent="0.35">
      <c r="A352" s="264">
        <v>27121000</v>
      </c>
      <c r="B352" s="252" t="s">
        <v>3426</v>
      </c>
      <c r="C352" s="252"/>
      <c r="D352" s="252"/>
    </row>
    <row r="353" spans="1:4" x14ac:dyDescent="0.35">
      <c r="A353" s="264">
        <v>29051420</v>
      </c>
      <c r="B353" s="252" t="s">
        <v>3426</v>
      </c>
      <c r="C353" s="252"/>
      <c r="D353" s="252"/>
    </row>
    <row r="354" spans="1:4" x14ac:dyDescent="0.35">
      <c r="A354" s="264">
        <v>29051720</v>
      </c>
      <c r="B354" s="252" t="s">
        <v>3426</v>
      </c>
      <c r="C354" s="252"/>
      <c r="D354" s="252"/>
    </row>
    <row r="355" spans="1:4" x14ac:dyDescent="0.35">
      <c r="A355" s="264">
        <v>29051730</v>
      </c>
      <c r="B355" s="252" t="s">
        <v>3426</v>
      </c>
      <c r="C355" s="252"/>
      <c r="D355" s="252"/>
    </row>
    <row r="356" spans="1:4" x14ac:dyDescent="0.35">
      <c r="A356" s="264">
        <v>29051996</v>
      </c>
      <c r="B356" s="252" t="s">
        <v>3426</v>
      </c>
      <c r="C356" s="252"/>
      <c r="D356" s="252"/>
    </row>
    <row r="357" spans="1:4" x14ac:dyDescent="0.35">
      <c r="A357" s="264">
        <v>29053100</v>
      </c>
      <c r="B357" s="252" t="s">
        <v>3426</v>
      </c>
      <c r="C357" s="252"/>
      <c r="D357" s="252"/>
    </row>
    <row r="358" spans="1:4" x14ac:dyDescent="0.35">
      <c r="A358" s="264">
        <v>29053200</v>
      </c>
      <c r="B358" s="252" t="s">
        <v>3426</v>
      </c>
      <c r="C358" s="252"/>
      <c r="D358" s="252"/>
    </row>
    <row r="359" spans="1:4" x14ac:dyDescent="0.35">
      <c r="A359" s="264">
        <v>29054500</v>
      </c>
      <c r="B359" s="252" t="s">
        <v>3426</v>
      </c>
      <c r="C359" s="252"/>
      <c r="D359" s="252"/>
    </row>
    <row r="360" spans="1:4" x14ac:dyDescent="0.35">
      <c r="A360" s="264">
        <v>29055990</v>
      </c>
      <c r="B360" s="252" t="s">
        <v>3426</v>
      </c>
      <c r="C360" s="252"/>
      <c r="D360" s="252"/>
    </row>
    <row r="361" spans="1:4" x14ac:dyDescent="0.35">
      <c r="A361" s="264">
        <v>29071300</v>
      </c>
      <c r="B361" s="252" t="s">
        <v>3426</v>
      </c>
      <c r="C361" s="252"/>
      <c r="D361" s="252"/>
    </row>
    <row r="362" spans="1:4" x14ac:dyDescent="0.35">
      <c r="A362" s="264">
        <v>29094310</v>
      </c>
      <c r="B362" s="252" t="s">
        <v>3426</v>
      </c>
      <c r="C362" s="252"/>
      <c r="D362" s="252"/>
    </row>
    <row r="363" spans="1:4" x14ac:dyDescent="0.35">
      <c r="A363" s="264">
        <v>29094320</v>
      </c>
      <c r="B363" s="252" t="s">
        <v>3426</v>
      </c>
      <c r="C363" s="252"/>
      <c r="D363" s="252"/>
    </row>
    <row r="364" spans="1:4" x14ac:dyDescent="0.35">
      <c r="A364" s="264">
        <v>29094411</v>
      </c>
      <c r="B364" s="252" t="s">
        <v>3426</v>
      </c>
      <c r="C364" s="252"/>
      <c r="D364" s="252"/>
    </row>
    <row r="365" spans="1:4" x14ac:dyDescent="0.35">
      <c r="A365" s="264">
        <v>29094419</v>
      </c>
      <c r="B365" s="252" t="s">
        <v>3426</v>
      </c>
      <c r="C365" s="252"/>
      <c r="D365" s="252"/>
    </row>
    <row r="366" spans="1:4" x14ac:dyDescent="0.35">
      <c r="A366" s="264">
        <v>29094421</v>
      </c>
      <c r="B366" s="252" t="s">
        <v>3426</v>
      </c>
      <c r="C366" s="252"/>
      <c r="D366" s="252"/>
    </row>
    <row r="367" spans="1:4" x14ac:dyDescent="0.35">
      <c r="A367" s="264">
        <v>29094429</v>
      </c>
      <c r="B367" s="252" t="s">
        <v>3426</v>
      </c>
      <c r="C367" s="252"/>
      <c r="D367" s="252"/>
    </row>
    <row r="368" spans="1:4" x14ac:dyDescent="0.35">
      <c r="A368" s="264">
        <v>29094929</v>
      </c>
      <c r="B368" s="252" t="s">
        <v>3426</v>
      </c>
      <c r="C368" s="252"/>
      <c r="D368" s="252"/>
    </row>
    <row r="369" spans="1:4" x14ac:dyDescent="0.35">
      <c r="A369" s="264">
        <v>29094931</v>
      </c>
      <c r="B369" s="252" t="s">
        <v>3426</v>
      </c>
      <c r="C369" s="252"/>
      <c r="D369" s="252"/>
    </row>
    <row r="370" spans="1:4" x14ac:dyDescent="0.35">
      <c r="A370" s="264">
        <v>29094990</v>
      </c>
      <c r="B370" s="252" t="s">
        <v>3426</v>
      </c>
      <c r="C370" s="252"/>
      <c r="D370" s="252"/>
    </row>
    <row r="371" spans="1:4" x14ac:dyDescent="0.35">
      <c r="A371" s="264">
        <v>29141200</v>
      </c>
      <c r="B371" s="252" t="s">
        <v>3426</v>
      </c>
      <c r="C371" s="252"/>
      <c r="D371" s="252"/>
    </row>
    <row r="372" spans="1:4" x14ac:dyDescent="0.35">
      <c r="A372" s="264">
        <v>29153932</v>
      </c>
      <c r="B372" s="252" t="s">
        <v>3426</v>
      </c>
      <c r="C372" s="252"/>
      <c r="D372" s="252"/>
    </row>
    <row r="373" spans="1:4" x14ac:dyDescent="0.35">
      <c r="A373" s="264">
        <v>29153939</v>
      </c>
      <c r="B373" s="252" t="s">
        <v>3426</v>
      </c>
      <c r="C373" s="252"/>
      <c r="D373" s="252"/>
    </row>
    <row r="374" spans="1:4" x14ac:dyDescent="0.35">
      <c r="A374" s="264">
        <v>29153999</v>
      </c>
      <c r="B374" s="252" t="s">
        <v>3426</v>
      </c>
      <c r="C374" s="252"/>
      <c r="D374" s="252"/>
    </row>
    <row r="375" spans="1:4" x14ac:dyDescent="0.35">
      <c r="A375" s="264">
        <v>29163139</v>
      </c>
      <c r="B375" s="252" t="s">
        <v>3426</v>
      </c>
      <c r="C375" s="252"/>
      <c r="D375" s="252"/>
    </row>
    <row r="376" spans="1:4" x14ac:dyDescent="0.35">
      <c r="A376" s="264">
        <v>29171990</v>
      </c>
      <c r="B376" s="252" t="s">
        <v>3426</v>
      </c>
      <c r="C376" s="252"/>
      <c r="D376" s="252"/>
    </row>
    <row r="377" spans="1:4" x14ac:dyDescent="0.35">
      <c r="A377" s="264">
        <v>29209090</v>
      </c>
      <c r="B377" s="252" t="s">
        <v>3426</v>
      </c>
      <c r="C377" s="252"/>
      <c r="D377" s="252"/>
    </row>
    <row r="378" spans="1:4" x14ac:dyDescent="0.35">
      <c r="A378" s="264">
        <v>29221100</v>
      </c>
      <c r="B378" s="252" t="s">
        <v>3426</v>
      </c>
      <c r="C378" s="252"/>
      <c r="D378" s="252"/>
    </row>
    <row r="379" spans="1:4" x14ac:dyDescent="0.35">
      <c r="A379" s="264">
        <v>29221200</v>
      </c>
      <c r="B379" s="252" t="s">
        <v>3426</v>
      </c>
      <c r="C379" s="252"/>
      <c r="D379" s="252"/>
    </row>
    <row r="380" spans="1:4" x14ac:dyDescent="0.35">
      <c r="A380" s="264">
        <v>29221500</v>
      </c>
      <c r="B380" s="252" t="s">
        <v>3426</v>
      </c>
      <c r="C380" s="252"/>
      <c r="D380" s="252"/>
    </row>
    <row r="381" spans="1:4" x14ac:dyDescent="0.35">
      <c r="A381" s="264">
        <v>29221999</v>
      </c>
      <c r="B381" s="252" t="s">
        <v>3426</v>
      </c>
      <c r="C381" s="252"/>
      <c r="D381" s="252"/>
    </row>
    <row r="382" spans="1:4" x14ac:dyDescent="0.35">
      <c r="A382" s="264">
        <v>29329999</v>
      </c>
      <c r="B382" s="252" t="s">
        <v>3426</v>
      </c>
      <c r="C382" s="252"/>
      <c r="D382" s="252"/>
    </row>
    <row r="383" spans="1:4" x14ac:dyDescent="0.35">
      <c r="A383" s="264">
        <v>29336921</v>
      </c>
      <c r="B383" s="252" t="s">
        <v>3426</v>
      </c>
      <c r="C383" s="252"/>
      <c r="D383" s="252"/>
    </row>
    <row r="384" spans="1:4" x14ac:dyDescent="0.35">
      <c r="A384" s="264">
        <v>32089039</v>
      </c>
      <c r="B384" s="252" t="s">
        <v>3426</v>
      </c>
      <c r="C384" s="252"/>
      <c r="D384" s="252"/>
    </row>
    <row r="385" spans="1:4" x14ac:dyDescent="0.35">
      <c r="A385" s="264">
        <v>34023100</v>
      </c>
      <c r="B385" s="252" t="s">
        <v>3426</v>
      </c>
      <c r="C385" s="252"/>
      <c r="D385" s="252"/>
    </row>
    <row r="386" spans="1:4" x14ac:dyDescent="0.35">
      <c r="A386" s="264">
        <v>34023990</v>
      </c>
      <c r="B386" s="252" t="s">
        <v>3426</v>
      </c>
      <c r="C386" s="252"/>
      <c r="D386" s="252"/>
    </row>
    <row r="387" spans="1:4" x14ac:dyDescent="0.35">
      <c r="A387" s="264">
        <v>34024200</v>
      </c>
      <c r="B387" s="252" t="s">
        <v>3426</v>
      </c>
      <c r="C387" s="252"/>
      <c r="D387" s="252"/>
    </row>
    <row r="388" spans="1:4" x14ac:dyDescent="0.35">
      <c r="A388" s="264">
        <v>34024900</v>
      </c>
      <c r="B388" s="252" t="s">
        <v>3426</v>
      </c>
      <c r="C388" s="252"/>
      <c r="D388" s="252"/>
    </row>
    <row r="389" spans="1:4" x14ac:dyDescent="0.35">
      <c r="A389" s="264">
        <v>34029011</v>
      </c>
      <c r="B389" s="252" t="s">
        <v>3426</v>
      </c>
      <c r="C389" s="252"/>
      <c r="D389" s="252"/>
    </row>
    <row r="390" spans="1:4" x14ac:dyDescent="0.35">
      <c r="A390" s="264">
        <v>34029019</v>
      </c>
      <c r="B390" s="252" t="s">
        <v>3426</v>
      </c>
      <c r="C390" s="252"/>
      <c r="D390" s="252"/>
    </row>
    <row r="391" spans="1:4" x14ac:dyDescent="0.35">
      <c r="A391" s="264">
        <v>34029029</v>
      </c>
      <c r="B391" s="252" t="s">
        <v>3426</v>
      </c>
      <c r="C391" s="252"/>
      <c r="D391" s="252"/>
    </row>
    <row r="392" spans="1:4" x14ac:dyDescent="0.35">
      <c r="A392" s="264">
        <v>34029090</v>
      </c>
      <c r="B392" s="252" t="s">
        <v>3426</v>
      </c>
      <c r="C392" s="252"/>
      <c r="D392" s="252"/>
    </row>
    <row r="393" spans="1:4" x14ac:dyDescent="0.35">
      <c r="A393" s="264">
        <v>34042010</v>
      </c>
      <c r="B393" s="252" t="s">
        <v>3426</v>
      </c>
      <c r="C393" s="252"/>
      <c r="D393" s="252"/>
    </row>
    <row r="394" spans="1:4" x14ac:dyDescent="0.35">
      <c r="A394" s="264">
        <v>34049029</v>
      </c>
      <c r="B394" s="252" t="s">
        <v>3426</v>
      </c>
      <c r="C394" s="252"/>
      <c r="D394" s="252"/>
    </row>
    <row r="395" spans="1:4" x14ac:dyDescent="0.35">
      <c r="A395" s="264">
        <v>38119090</v>
      </c>
      <c r="B395" s="252" t="s">
        <v>3426</v>
      </c>
      <c r="C395" s="252"/>
      <c r="D395" s="252"/>
    </row>
    <row r="396" spans="1:4" x14ac:dyDescent="0.35">
      <c r="A396" s="264">
        <v>38140090</v>
      </c>
      <c r="B396" s="252" t="s">
        <v>3426</v>
      </c>
      <c r="C396" s="252"/>
      <c r="D396" s="252"/>
    </row>
    <row r="397" spans="1:4" x14ac:dyDescent="0.35">
      <c r="A397" s="264">
        <v>38159099</v>
      </c>
      <c r="B397" s="252" t="s">
        <v>3426</v>
      </c>
      <c r="C397" s="252"/>
      <c r="D397" s="252"/>
    </row>
    <row r="398" spans="1:4" x14ac:dyDescent="0.35">
      <c r="A398" s="264">
        <v>38190000</v>
      </c>
      <c r="B398" s="252" t="s">
        <v>3426</v>
      </c>
      <c r="C398" s="252"/>
      <c r="D398" s="252"/>
    </row>
    <row r="399" spans="1:4" x14ac:dyDescent="0.35">
      <c r="A399" s="264">
        <v>38231990</v>
      </c>
      <c r="B399" s="252" t="s">
        <v>3426</v>
      </c>
      <c r="C399" s="252"/>
      <c r="D399" s="252"/>
    </row>
    <row r="400" spans="1:4" x14ac:dyDescent="0.35">
      <c r="A400" s="264">
        <v>38237010</v>
      </c>
      <c r="B400" s="252" t="s">
        <v>3426</v>
      </c>
      <c r="C400" s="252"/>
      <c r="D400" s="252"/>
    </row>
    <row r="401" spans="1:4" x14ac:dyDescent="0.35">
      <c r="A401" s="264">
        <v>38237020</v>
      </c>
      <c r="B401" s="252" t="s">
        <v>3426</v>
      </c>
      <c r="C401" s="252"/>
      <c r="D401" s="252"/>
    </row>
    <row r="402" spans="1:4" x14ac:dyDescent="0.35">
      <c r="A402" s="264">
        <v>38249929</v>
      </c>
      <c r="B402" s="252" t="s">
        <v>3426</v>
      </c>
      <c r="C402" s="252"/>
      <c r="D402" s="252"/>
    </row>
    <row r="403" spans="1:4" x14ac:dyDescent="0.35">
      <c r="A403" s="264">
        <v>38249941</v>
      </c>
      <c r="B403" s="252" t="s">
        <v>3426</v>
      </c>
      <c r="C403" s="252"/>
      <c r="D403" s="252"/>
    </row>
    <row r="404" spans="1:4" x14ac:dyDescent="0.35">
      <c r="A404" s="264">
        <v>38249989</v>
      </c>
      <c r="B404" s="252" t="s">
        <v>3426</v>
      </c>
      <c r="C404" s="252"/>
      <c r="D404" s="252"/>
    </row>
    <row r="405" spans="1:4" x14ac:dyDescent="0.35">
      <c r="A405" s="264">
        <v>39069011</v>
      </c>
      <c r="B405" s="252" t="s">
        <v>3426</v>
      </c>
      <c r="C405" s="252"/>
      <c r="D405" s="252"/>
    </row>
    <row r="406" spans="1:4" x14ac:dyDescent="0.35">
      <c r="A406" s="264">
        <v>39069019</v>
      </c>
      <c r="B406" s="252" t="s">
        <v>3426</v>
      </c>
      <c r="C406" s="252"/>
      <c r="D406" s="252"/>
    </row>
    <row r="407" spans="1:4" x14ac:dyDescent="0.35">
      <c r="A407" s="264">
        <v>39069029</v>
      </c>
      <c r="B407" s="252" t="s">
        <v>3426</v>
      </c>
      <c r="C407" s="252"/>
      <c r="D407" s="252"/>
    </row>
    <row r="408" spans="1:4" x14ac:dyDescent="0.35">
      <c r="A408" s="264">
        <v>39069039</v>
      </c>
      <c r="B408" s="252" t="s">
        <v>3426</v>
      </c>
      <c r="C408" s="252"/>
      <c r="D408" s="252"/>
    </row>
    <row r="409" spans="1:4" x14ac:dyDescent="0.35">
      <c r="A409" s="264">
        <v>39069069</v>
      </c>
      <c r="B409" s="252" t="s">
        <v>3426</v>
      </c>
      <c r="C409" s="252"/>
      <c r="D409" s="252"/>
    </row>
    <row r="410" spans="1:4" x14ac:dyDescent="0.35">
      <c r="A410" s="264">
        <v>39072931</v>
      </c>
      <c r="B410" s="252" t="s">
        <v>3426</v>
      </c>
      <c r="C410" s="252"/>
      <c r="D410" s="252"/>
    </row>
    <row r="411" spans="1:4" x14ac:dyDescent="0.35">
      <c r="A411" s="264">
        <v>39072939</v>
      </c>
      <c r="B411" s="252" t="s">
        <v>3426</v>
      </c>
      <c r="C411" s="252"/>
      <c r="D411" s="252"/>
    </row>
    <row r="412" spans="1:4" x14ac:dyDescent="0.35">
      <c r="A412" s="264">
        <v>39094091</v>
      </c>
      <c r="B412" s="252" t="s">
        <v>3426</v>
      </c>
      <c r="C412" s="252"/>
      <c r="D412" s="252"/>
    </row>
    <row r="413" spans="1:4" x14ac:dyDescent="0.35">
      <c r="A413" s="264">
        <v>39094099</v>
      </c>
      <c r="B413" s="252" t="s">
        <v>3426</v>
      </c>
      <c r="C413" s="252"/>
      <c r="D413" s="252"/>
    </row>
    <row r="414" spans="1:4" x14ac:dyDescent="0.35">
      <c r="A414" s="264">
        <v>39119029</v>
      </c>
      <c r="B414" s="252" t="s">
        <v>3426</v>
      </c>
      <c r="C414" s="252"/>
      <c r="D414" s="252"/>
    </row>
    <row r="415" spans="1:4" x14ac:dyDescent="0.35">
      <c r="A415" s="264">
        <v>39232190</v>
      </c>
      <c r="B415" s="252" t="s">
        <v>3426</v>
      </c>
      <c r="C415" s="252"/>
      <c r="D415" s="252"/>
    </row>
    <row r="416" spans="1:4" x14ac:dyDescent="0.35">
      <c r="A416" s="264">
        <v>48191000</v>
      </c>
      <c r="B416" s="252" t="s">
        <v>3426</v>
      </c>
      <c r="C416" s="252"/>
      <c r="D416" s="252"/>
    </row>
    <row r="417" spans="1:4" x14ac:dyDescent="0.35">
      <c r="A417" s="264">
        <v>49019900</v>
      </c>
      <c r="B417" s="252" t="s">
        <v>3426</v>
      </c>
      <c r="C417" s="252"/>
      <c r="D417" s="252"/>
    </row>
    <row r="418" spans="1:4" x14ac:dyDescent="0.35">
      <c r="A418" s="264">
        <v>90279010</v>
      </c>
      <c r="B418" s="252" t="s">
        <v>3426</v>
      </c>
      <c r="C418" s="252"/>
      <c r="D418" s="252"/>
    </row>
    <row r="419" spans="1:4" x14ac:dyDescent="0.35">
      <c r="A419" s="264">
        <v>90279099</v>
      </c>
      <c r="B419" s="252" t="s">
        <v>3426</v>
      </c>
      <c r="C419" s="252"/>
      <c r="D419" s="252"/>
    </row>
    <row r="420" spans="1:4" x14ac:dyDescent="0.35">
      <c r="A420" s="264">
        <v>29053100</v>
      </c>
      <c r="B420" s="252" t="s">
        <v>3427</v>
      </c>
      <c r="C420" s="252"/>
      <c r="D420" s="252"/>
    </row>
    <row r="421" spans="1:4" x14ac:dyDescent="0.35">
      <c r="A421" s="264">
        <v>29094100</v>
      </c>
      <c r="B421" s="252" t="s">
        <v>3427</v>
      </c>
      <c r="C421" s="252"/>
      <c r="D421" s="252"/>
    </row>
    <row r="422" spans="1:4" x14ac:dyDescent="0.35">
      <c r="A422" s="264">
        <v>29094320</v>
      </c>
      <c r="B422" s="252" t="s">
        <v>3427</v>
      </c>
      <c r="C422" s="252"/>
      <c r="D422" s="252"/>
    </row>
    <row r="423" spans="1:4" x14ac:dyDescent="0.35">
      <c r="A423" s="264">
        <v>29141200</v>
      </c>
      <c r="B423" s="252" t="s">
        <v>3427</v>
      </c>
      <c r="C423" s="252"/>
      <c r="D423" s="252"/>
    </row>
    <row r="424" spans="1:4" x14ac:dyDescent="0.35">
      <c r="A424" s="264">
        <v>29221100</v>
      </c>
      <c r="B424" s="252" t="s">
        <v>3427</v>
      </c>
      <c r="C424" s="252"/>
      <c r="D424" s="252"/>
    </row>
    <row r="425" spans="1:4" x14ac:dyDescent="0.35">
      <c r="A425" s="264">
        <v>29221500</v>
      </c>
      <c r="B425" s="252" t="s">
        <v>3427</v>
      </c>
      <c r="C425" s="252"/>
      <c r="D425" s="252"/>
    </row>
    <row r="426" spans="1:4" x14ac:dyDescent="0.35">
      <c r="A426" s="264">
        <v>29336921</v>
      </c>
      <c r="B426" s="252" t="s">
        <v>3427</v>
      </c>
      <c r="C426" s="252"/>
      <c r="D426" s="252"/>
    </row>
    <row r="427" spans="1:4" x14ac:dyDescent="0.35">
      <c r="A427" s="264">
        <v>34023990</v>
      </c>
      <c r="B427" s="252" t="s">
        <v>3427</v>
      </c>
      <c r="C427" s="252"/>
      <c r="D427" s="252"/>
    </row>
    <row r="428" spans="1:4" x14ac:dyDescent="0.35">
      <c r="A428" s="264">
        <v>34024200</v>
      </c>
      <c r="B428" s="252" t="s">
        <v>3427</v>
      </c>
      <c r="C428" s="252"/>
      <c r="D428" s="252"/>
    </row>
    <row r="429" spans="1:4" x14ac:dyDescent="0.35">
      <c r="A429" s="264">
        <v>34024900</v>
      </c>
      <c r="B429" s="252" t="s">
        <v>3427</v>
      </c>
      <c r="C429" s="252"/>
      <c r="D429" s="252"/>
    </row>
    <row r="430" spans="1:4" x14ac:dyDescent="0.35">
      <c r="A430" s="264">
        <v>34029011</v>
      </c>
      <c r="B430" s="252" t="s">
        <v>3427</v>
      </c>
      <c r="C430" s="252"/>
      <c r="D430" s="252"/>
    </row>
    <row r="431" spans="1:4" x14ac:dyDescent="0.35">
      <c r="A431" s="264">
        <v>34029029</v>
      </c>
      <c r="B431" s="252" t="s">
        <v>3427</v>
      </c>
      <c r="C431" s="252"/>
      <c r="D431" s="252"/>
    </row>
    <row r="432" spans="1:4" x14ac:dyDescent="0.35">
      <c r="A432" s="264">
        <v>34042010</v>
      </c>
      <c r="B432" s="252" t="s">
        <v>3427</v>
      </c>
      <c r="C432" s="252"/>
      <c r="D432" s="252"/>
    </row>
    <row r="433" spans="1:4" x14ac:dyDescent="0.35">
      <c r="A433" s="264">
        <v>38190000</v>
      </c>
      <c r="B433" s="252" t="s">
        <v>3427</v>
      </c>
      <c r="C433" s="252"/>
      <c r="D433" s="252"/>
    </row>
    <row r="434" spans="1:4" x14ac:dyDescent="0.35">
      <c r="A434" s="264">
        <v>38249929</v>
      </c>
      <c r="B434" s="252" t="s">
        <v>3427</v>
      </c>
      <c r="C434" s="252"/>
      <c r="D434" s="252"/>
    </row>
    <row r="435" spans="1:4" x14ac:dyDescent="0.35">
      <c r="A435" s="264">
        <v>39072939</v>
      </c>
      <c r="B435" s="252" t="s">
        <v>3427</v>
      </c>
      <c r="C435" s="252"/>
      <c r="D435" s="252"/>
    </row>
    <row r="436" spans="1:4" x14ac:dyDescent="0.35">
      <c r="A436" s="264">
        <v>73101090</v>
      </c>
      <c r="B436" s="252" t="s">
        <v>3427</v>
      </c>
      <c r="C436" s="252"/>
      <c r="D436" s="252"/>
    </row>
    <row r="437" spans="1:4" x14ac:dyDescent="0.35">
      <c r="A437" s="264">
        <v>73110000</v>
      </c>
      <c r="B437" s="252" t="s">
        <v>3428</v>
      </c>
      <c r="C437" s="252"/>
      <c r="D437" s="252"/>
    </row>
    <row r="438" spans="1:4" x14ac:dyDescent="0.35">
      <c r="A438" s="264">
        <v>84272090</v>
      </c>
      <c r="B438" s="252" t="s">
        <v>3428</v>
      </c>
      <c r="C438" s="252"/>
      <c r="D438" s="252"/>
    </row>
    <row r="439" spans="1:4" x14ac:dyDescent="0.35">
      <c r="A439" s="264">
        <v>84818094</v>
      </c>
      <c r="B439" s="252" t="s">
        <v>3428</v>
      </c>
      <c r="C439" s="252"/>
      <c r="D439" s="252"/>
    </row>
    <row r="440" spans="1:4" x14ac:dyDescent="0.35">
      <c r="A440" s="264">
        <v>86090000</v>
      </c>
      <c r="B440" s="252" t="s">
        <v>3428</v>
      </c>
      <c r="C440" s="252"/>
      <c r="D440" s="252"/>
    </row>
    <row r="441" spans="1:4" x14ac:dyDescent="0.35">
      <c r="A441" s="264">
        <v>29051420</v>
      </c>
      <c r="B441" s="252" t="s">
        <v>3429</v>
      </c>
      <c r="C441" s="252"/>
      <c r="D441" s="252"/>
    </row>
    <row r="442" spans="1:4" x14ac:dyDescent="0.35">
      <c r="A442" s="264">
        <v>29141200</v>
      </c>
      <c r="B442" s="252" t="s">
        <v>3429</v>
      </c>
      <c r="C442" s="252"/>
      <c r="D442" s="252"/>
    </row>
    <row r="443" spans="1:4" x14ac:dyDescent="0.35">
      <c r="A443" s="264">
        <v>22072019</v>
      </c>
      <c r="B443" s="252" t="s">
        <v>3430</v>
      </c>
      <c r="C443" s="252"/>
      <c r="D443" s="252"/>
    </row>
    <row r="444" spans="1:4" x14ac:dyDescent="0.35">
      <c r="A444" s="264">
        <v>29053100</v>
      </c>
      <c r="B444" s="252" t="s">
        <v>3430</v>
      </c>
      <c r="C444" s="252"/>
      <c r="D444" s="252"/>
    </row>
    <row r="445" spans="1:4" x14ac:dyDescent="0.35">
      <c r="A445" s="264">
        <v>29094310</v>
      </c>
      <c r="B445" s="252" t="s">
        <v>3430</v>
      </c>
      <c r="C445" s="252"/>
      <c r="D445" s="252"/>
    </row>
    <row r="446" spans="1:4" x14ac:dyDescent="0.35">
      <c r="A446" s="264">
        <v>29094419</v>
      </c>
      <c r="B446" s="252" t="s">
        <v>3430</v>
      </c>
      <c r="C446" s="252"/>
      <c r="D446" s="252"/>
    </row>
    <row r="447" spans="1:4" x14ac:dyDescent="0.35">
      <c r="A447" s="264">
        <v>29094921</v>
      </c>
      <c r="B447" s="252" t="s">
        <v>3430</v>
      </c>
      <c r="C447" s="252"/>
      <c r="D447" s="252"/>
    </row>
    <row r="448" spans="1:4" x14ac:dyDescent="0.35">
      <c r="A448" s="264">
        <v>29094929</v>
      </c>
      <c r="B448" s="252" t="s">
        <v>3430</v>
      </c>
      <c r="C448" s="252"/>
      <c r="D448" s="252"/>
    </row>
    <row r="449" spans="1:4" x14ac:dyDescent="0.35">
      <c r="A449" s="264">
        <v>34023990</v>
      </c>
      <c r="B449" s="252" t="s">
        <v>3430</v>
      </c>
      <c r="C449" s="252"/>
      <c r="D449" s="252"/>
    </row>
    <row r="450" spans="1:4" x14ac:dyDescent="0.35">
      <c r="A450" s="264">
        <v>34024200</v>
      </c>
      <c r="B450" s="252" t="s">
        <v>3430</v>
      </c>
      <c r="C450" s="252"/>
      <c r="D450" s="252"/>
    </row>
    <row r="451" spans="1:4" x14ac:dyDescent="0.35">
      <c r="A451" s="264">
        <v>34029029</v>
      </c>
      <c r="B451" s="252" t="s">
        <v>3430</v>
      </c>
      <c r="C451" s="252"/>
      <c r="D451" s="252"/>
    </row>
    <row r="452" spans="1:4" x14ac:dyDescent="0.35">
      <c r="A452" s="264">
        <v>38140090</v>
      </c>
      <c r="B452" s="252" t="s">
        <v>3430</v>
      </c>
      <c r="C452" s="252"/>
      <c r="D452" s="252"/>
    </row>
    <row r="453" spans="1:4" x14ac:dyDescent="0.35">
      <c r="A453" s="264">
        <v>38190000</v>
      </c>
      <c r="B453" s="252" t="s">
        <v>3430</v>
      </c>
      <c r="C453" s="252"/>
      <c r="D453" s="252"/>
    </row>
    <row r="454" spans="1:4" x14ac:dyDescent="0.35">
      <c r="A454" s="264">
        <v>38249929</v>
      </c>
      <c r="B454" s="252" t="s">
        <v>3430</v>
      </c>
      <c r="C454" s="252"/>
      <c r="D454" s="252"/>
    </row>
    <row r="455" spans="1:4" x14ac:dyDescent="0.35">
      <c r="A455" s="264">
        <v>39072939</v>
      </c>
      <c r="B455" s="252" t="s">
        <v>3430</v>
      </c>
      <c r="C455" s="252"/>
      <c r="D455" s="252"/>
    </row>
    <row r="456" spans="1:4" x14ac:dyDescent="0.35">
      <c r="A456" s="264">
        <v>29141200</v>
      </c>
      <c r="B456" s="252" t="s">
        <v>3431</v>
      </c>
      <c r="C456" s="252"/>
      <c r="D456" s="252"/>
    </row>
    <row r="457" spans="1:4" x14ac:dyDescent="0.35">
      <c r="A457" s="264">
        <v>39159000</v>
      </c>
      <c r="B457" s="252" t="s">
        <v>3432</v>
      </c>
      <c r="C457" s="252"/>
      <c r="D457" s="252"/>
    </row>
    <row r="458" spans="1:4" x14ac:dyDescent="0.35">
      <c r="A458" s="264">
        <v>27101991</v>
      </c>
      <c r="B458" s="252" t="s">
        <v>3433</v>
      </c>
      <c r="C458" s="252"/>
      <c r="D458" s="252"/>
    </row>
    <row r="459" spans="1:4" x14ac:dyDescent="0.35">
      <c r="A459" s="264">
        <v>27121000</v>
      </c>
      <c r="B459" s="252" t="s">
        <v>3433</v>
      </c>
      <c r="C459" s="252"/>
      <c r="D459" s="252"/>
    </row>
    <row r="460" spans="1:4" x14ac:dyDescent="0.35">
      <c r="A460" s="264">
        <v>29051720</v>
      </c>
      <c r="B460" s="252" t="s">
        <v>3433</v>
      </c>
      <c r="C460" s="252"/>
      <c r="D460" s="252"/>
    </row>
    <row r="461" spans="1:4" x14ac:dyDescent="0.35">
      <c r="A461" s="264">
        <v>29054500</v>
      </c>
      <c r="B461" s="252" t="s">
        <v>3433</v>
      </c>
      <c r="C461" s="252"/>
      <c r="D461" s="252"/>
    </row>
    <row r="462" spans="1:4" x14ac:dyDescent="0.35">
      <c r="A462" s="264">
        <v>29071300</v>
      </c>
      <c r="B462" s="252" t="s">
        <v>3433</v>
      </c>
      <c r="C462" s="252"/>
      <c r="D462" s="252"/>
    </row>
    <row r="463" spans="1:4" x14ac:dyDescent="0.35">
      <c r="A463" s="264">
        <v>29094320</v>
      </c>
      <c r="B463" s="252" t="s">
        <v>3433</v>
      </c>
      <c r="C463" s="252"/>
      <c r="D463" s="252"/>
    </row>
    <row r="464" spans="1:4" x14ac:dyDescent="0.35">
      <c r="A464" s="264">
        <v>29094421</v>
      </c>
      <c r="B464" s="252" t="s">
        <v>3433</v>
      </c>
      <c r="C464" s="252"/>
      <c r="D464" s="252"/>
    </row>
    <row r="465" spans="1:4" x14ac:dyDescent="0.35">
      <c r="A465" s="264">
        <v>29094921</v>
      </c>
      <c r="B465" s="252" t="s">
        <v>3433</v>
      </c>
      <c r="C465" s="252"/>
      <c r="D465" s="252"/>
    </row>
    <row r="466" spans="1:4" x14ac:dyDescent="0.35">
      <c r="A466" s="264">
        <v>29153939</v>
      </c>
      <c r="B466" s="252" t="s">
        <v>3433</v>
      </c>
      <c r="C466" s="252"/>
      <c r="D466" s="252"/>
    </row>
    <row r="467" spans="1:4" x14ac:dyDescent="0.35">
      <c r="A467" s="264">
        <v>29221200</v>
      </c>
      <c r="B467" s="252" t="s">
        <v>3433</v>
      </c>
      <c r="C467" s="252"/>
      <c r="D467" s="252"/>
    </row>
    <row r="468" spans="1:4" x14ac:dyDescent="0.35">
      <c r="A468" s="264">
        <v>34023990</v>
      </c>
      <c r="B468" s="252" t="s">
        <v>3433</v>
      </c>
      <c r="C468" s="252"/>
      <c r="D468" s="252"/>
    </row>
    <row r="469" spans="1:4" x14ac:dyDescent="0.35">
      <c r="A469" s="264">
        <v>34024200</v>
      </c>
      <c r="B469" s="252" t="s">
        <v>3433</v>
      </c>
      <c r="C469" s="252"/>
      <c r="D469" s="252"/>
    </row>
    <row r="470" spans="1:4" x14ac:dyDescent="0.35">
      <c r="A470" s="264">
        <v>34024900</v>
      </c>
      <c r="B470" s="252" t="s">
        <v>3433</v>
      </c>
      <c r="C470" s="252"/>
      <c r="D470" s="252"/>
    </row>
    <row r="471" spans="1:4" x14ac:dyDescent="0.35">
      <c r="A471" s="264">
        <v>34029019</v>
      </c>
      <c r="B471" s="252" t="s">
        <v>3433</v>
      </c>
      <c r="C471" s="252"/>
      <c r="D471" s="252"/>
    </row>
    <row r="472" spans="1:4" x14ac:dyDescent="0.35">
      <c r="A472" s="264">
        <v>34029029</v>
      </c>
      <c r="B472" s="252" t="s">
        <v>3433</v>
      </c>
      <c r="C472" s="252"/>
      <c r="D472" s="252"/>
    </row>
    <row r="473" spans="1:4" x14ac:dyDescent="0.35">
      <c r="A473" s="264">
        <v>34042010</v>
      </c>
      <c r="B473" s="252" t="s">
        <v>3433</v>
      </c>
      <c r="C473" s="252"/>
      <c r="D473" s="252"/>
    </row>
    <row r="474" spans="1:4" x14ac:dyDescent="0.35">
      <c r="A474" s="264">
        <v>38237010</v>
      </c>
      <c r="B474" s="252" t="s">
        <v>3433</v>
      </c>
      <c r="C474" s="252"/>
      <c r="D474" s="252"/>
    </row>
    <row r="475" spans="1:4" x14ac:dyDescent="0.35">
      <c r="A475" s="264">
        <v>38249929</v>
      </c>
      <c r="B475" s="252" t="s">
        <v>3433</v>
      </c>
      <c r="C475" s="252"/>
      <c r="D475" s="252"/>
    </row>
    <row r="476" spans="1:4" x14ac:dyDescent="0.35">
      <c r="A476" s="264">
        <v>38249989</v>
      </c>
      <c r="B476" s="252" t="s">
        <v>3433</v>
      </c>
      <c r="C476" s="252"/>
      <c r="D476" s="252"/>
    </row>
    <row r="477" spans="1:4" x14ac:dyDescent="0.35">
      <c r="A477" s="264">
        <v>39072939</v>
      </c>
      <c r="B477" s="252" t="s">
        <v>3433</v>
      </c>
      <c r="C477" s="252"/>
      <c r="D477" s="252"/>
    </row>
    <row r="478" spans="1:4" x14ac:dyDescent="0.35">
      <c r="A478" s="264">
        <v>29094929</v>
      </c>
      <c r="B478" s="252" t="s">
        <v>3434</v>
      </c>
      <c r="C478" s="252"/>
      <c r="D478" s="252"/>
    </row>
    <row r="479" spans="1:4" x14ac:dyDescent="0.35">
      <c r="A479" s="264">
        <v>39072931</v>
      </c>
      <c r="B479" s="252" t="s">
        <v>3435</v>
      </c>
      <c r="C479" s="252"/>
      <c r="D479" s="252"/>
    </row>
    <row r="480" spans="1:4" x14ac:dyDescent="0.35">
      <c r="A480" s="264">
        <v>27101991</v>
      </c>
      <c r="B480" s="252" t="s">
        <v>3436</v>
      </c>
      <c r="C480" s="252"/>
      <c r="D480" s="252"/>
    </row>
    <row r="481" spans="1:4" x14ac:dyDescent="0.35">
      <c r="A481" s="264">
        <v>27121000</v>
      </c>
      <c r="B481" s="252" t="s">
        <v>3436</v>
      </c>
      <c r="C481" s="252"/>
      <c r="D481" s="252"/>
    </row>
    <row r="482" spans="1:4" x14ac:dyDescent="0.35">
      <c r="A482" s="264">
        <v>27101991</v>
      </c>
      <c r="B482" s="252" t="s">
        <v>3437</v>
      </c>
      <c r="C482" s="252"/>
      <c r="D482" s="252"/>
    </row>
    <row r="483" spans="1:4" x14ac:dyDescent="0.35">
      <c r="A483" s="264">
        <v>27101999</v>
      </c>
      <c r="B483" s="252" t="s">
        <v>3437</v>
      </c>
      <c r="C483" s="252"/>
      <c r="D483" s="252"/>
    </row>
    <row r="484" spans="1:4" x14ac:dyDescent="0.35">
      <c r="A484" s="264">
        <v>29051720</v>
      </c>
      <c r="B484" s="252" t="s">
        <v>3437</v>
      </c>
      <c r="C484" s="252"/>
      <c r="D484" s="252"/>
    </row>
    <row r="485" spans="1:4" x14ac:dyDescent="0.35">
      <c r="A485" s="264">
        <v>29053100</v>
      </c>
      <c r="B485" s="252" t="s">
        <v>3437</v>
      </c>
      <c r="C485" s="252"/>
      <c r="D485" s="252"/>
    </row>
    <row r="486" spans="1:4" x14ac:dyDescent="0.35">
      <c r="A486" s="264">
        <v>29094100</v>
      </c>
      <c r="B486" s="252" t="s">
        <v>3437</v>
      </c>
      <c r="C486" s="252"/>
      <c r="D486" s="252"/>
    </row>
    <row r="487" spans="1:4" x14ac:dyDescent="0.35">
      <c r="A487" s="264">
        <v>29094310</v>
      </c>
      <c r="B487" s="252" t="s">
        <v>3437</v>
      </c>
      <c r="C487" s="252"/>
      <c r="D487" s="252"/>
    </row>
    <row r="488" spans="1:4" x14ac:dyDescent="0.35">
      <c r="A488" s="264">
        <v>29094320</v>
      </c>
      <c r="B488" s="252" t="s">
        <v>3437</v>
      </c>
      <c r="C488" s="252"/>
      <c r="D488" s="252"/>
    </row>
    <row r="489" spans="1:4" x14ac:dyDescent="0.35">
      <c r="A489" s="264">
        <v>29221100</v>
      </c>
      <c r="B489" s="252" t="s">
        <v>3437</v>
      </c>
      <c r="C489" s="252"/>
      <c r="D489" s="252"/>
    </row>
    <row r="490" spans="1:4" x14ac:dyDescent="0.35">
      <c r="A490" s="264">
        <v>29221500</v>
      </c>
      <c r="B490" s="252" t="s">
        <v>3437</v>
      </c>
      <c r="C490" s="252"/>
      <c r="D490" s="252"/>
    </row>
    <row r="491" spans="1:4" x14ac:dyDescent="0.35">
      <c r="A491" s="264">
        <v>34024200</v>
      </c>
      <c r="B491" s="252" t="s">
        <v>3437</v>
      </c>
      <c r="C491" s="252"/>
      <c r="D491" s="252"/>
    </row>
    <row r="492" spans="1:4" x14ac:dyDescent="0.35">
      <c r="A492" s="264">
        <v>38231990</v>
      </c>
      <c r="B492" s="252" t="s">
        <v>3437</v>
      </c>
      <c r="C492" s="252"/>
      <c r="D492" s="252"/>
    </row>
    <row r="493" spans="1:4" x14ac:dyDescent="0.35">
      <c r="A493" s="264">
        <v>38237010</v>
      </c>
      <c r="B493" s="252" t="s">
        <v>3437</v>
      </c>
      <c r="C493" s="252"/>
      <c r="D493" s="252"/>
    </row>
    <row r="494" spans="1:4" x14ac:dyDescent="0.35">
      <c r="A494" s="264">
        <v>39072931</v>
      </c>
      <c r="B494" s="252" t="s">
        <v>3437</v>
      </c>
      <c r="C494" s="252"/>
      <c r="D494" s="252"/>
    </row>
    <row r="495" spans="1:4" x14ac:dyDescent="0.35">
      <c r="A495" s="264">
        <v>34024200</v>
      </c>
      <c r="B495" s="252" t="s">
        <v>3438</v>
      </c>
      <c r="C495" s="252"/>
      <c r="D495" s="252"/>
    </row>
    <row r="496" spans="1:4" x14ac:dyDescent="0.35">
      <c r="A496" s="264">
        <v>34042010</v>
      </c>
      <c r="B496" s="252" t="s">
        <v>3438</v>
      </c>
      <c r="C496" s="252"/>
      <c r="D496" s="252"/>
    </row>
    <row r="497" spans="1:4" x14ac:dyDescent="0.35">
      <c r="A497" s="264">
        <v>38249929</v>
      </c>
      <c r="B497" s="252" t="s">
        <v>3438</v>
      </c>
      <c r="C497" s="252"/>
      <c r="D497" s="252"/>
    </row>
    <row r="498" spans="1:4" x14ac:dyDescent="0.35">
      <c r="A498" s="264">
        <v>39072939</v>
      </c>
      <c r="B498" s="252" t="s">
        <v>3438</v>
      </c>
      <c r="C498" s="252"/>
      <c r="D498" s="252"/>
    </row>
    <row r="499" spans="1:4" x14ac:dyDescent="0.35">
      <c r="A499" s="264">
        <v>27101991</v>
      </c>
      <c r="B499" s="252" t="s">
        <v>3439</v>
      </c>
      <c r="C499" s="252"/>
      <c r="D499" s="252"/>
    </row>
    <row r="500" spans="1:4" x14ac:dyDescent="0.35">
      <c r="A500" s="264">
        <v>27121000</v>
      </c>
      <c r="B500" s="252" t="s">
        <v>3439</v>
      </c>
      <c r="C500" s="252"/>
      <c r="D500" s="252"/>
    </row>
    <row r="501" spans="1:4" x14ac:dyDescent="0.35">
      <c r="A501" s="264">
        <v>29053100</v>
      </c>
      <c r="B501" s="252" t="s">
        <v>3439</v>
      </c>
      <c r="C501" s="252"/>
      <c r="D501" s="252"/>
    </row>
    <row r="502" spans="1:4" x14ac:dyDescent="0.35">
      <c r="A502" s="264">
        <v>29054500</v>
      </c>
      <c r="B502" s="252" t="s">
        <v>3439</v>
      </c>
      <c r="C502" s="252"/>
      <c r="D502" s="252"/>
    </row>
    <row r="503" spans="1:4" x14ac:dyDescent="0.35">
      <c r="A503" s="264">
        <v>29094100</v>
      </c>
      <c r="B503" s="252" t="s">
        <v>3439</v>
      </c>
      <c r="C503" s="252"/>
      <c r="D503" s="252"/>
    </row>
    <row r="504" spans="1:4" x14ac:dyDescent="0.35">
      <c r="A504" s="264">
        <v>29094310</v>
      </c>
      <c r="B504" s="252" t="s">
        <v>3439</v>
      </c>
      <c r="C504" s="252"/>
      <c r="D504" s="252"/>
    </row>
    <row r="505" spans="1:4" x14ac:dyDescent="0.35">
      <c r="A505" s="264">
        <v>29221100</v>
      </c>
      <c r="B505" s="252" t="s">
        <v>3439</v>
      </c>
      <c r="C505" s="252"/>
      <c r="D505" s="252"/>
    </row>
    <row r="506" spans="1:4" x14ac:dyDescent="0.35">
      <c r="A506" s="264">
        <v>29221200</v>
      </c>
      <c r="B506" s="252" t="s">
        <v>3439</v>
      </c>
      <c r="C506" s="252"/>
      <c r="D506" s="252"/>
    </row>
    <row r="507" spans="1:4" x14ac:dyDescent="0.35">
      <c r="A507" s="264">
        <v>29221500</v>
      </c>
      <c r="B507" s="252" t="s">
        <v>3439</v>
      </c>
      <c r="C507" s="252"/>
      <c r="D507" s="252"/>
    </row>
    <row r="508" spans="1:4" x14ac:dyDescent="0.35">
      <c r="A508" s="264">
        <v>34024200</v>
      </c>
      <c r="B508" s="252" t="s">
        <v>3439</v>
      </c>
      <c r="C508" s="252"/>
      <c r="D508" s="252"/>
    </row>
    <row r="509" spans="1:4" x14ac:dyDescent="0.35">
      <c r="A509" s="264">
        <v>38249929</v>
      </c>
      <c r="B509" s="252" t="s">
        <v>3439</v>
      </c>
      <c r="C509" s="252"/>
      <c r="D509" s="252"/>
    </row>
    <row r="510" spans="1:4" x14ac:dyDescent="0.35">
      <c r="A510" s="264">
        <v>39072939</v>
      </c>
      <c r="B510" s="252" t="s">
        <v>3439</v>
      </c>
      <c r="C510" s="252"/>
      <c r="D510" s="252"/>
    </row>
    <row r="511" spans="1:4" x14ac:dyDescent="0.35">
      <c r="A511" s="264">
        <v>22072019</v>
      </c>
      <c r="B511" s="252" t="s">
        <v>3440</v>
      </c>
      <c r="C511" s="252"/>
      <c r="D511" s="252"/>
    </row>
    <row r="512" spans="1:4" x14ac:dyDescent="0.35">
      <c r="A512" s="264">
        <v>29051100</v>
      </c>
      <c r="B512" s="252" t="s">
        <v>3440</v>
      </c>
      <c r="C512" s="252"/>
      <c r="D512" s="252"/>
    </row>
    <row r="513" spans="1:4" x14ac:dyDescent="0.35">
      <c r="A513" s="264">
        <v>29054500</v>
      </c>
      <c r="B513" s="252" t="s">
        <v>3440</v>
      </c>
      <c r="C513" s="252"/>
      <c r="D513" s="252"/>
    </row>
    <row r="514" spans="1:4" x14ac:dyDescent="0.35">
      <c r="A514" s="264">
        <v>29126000</v>
      </c>
      <c r="B514" s="252" t="s">
        <v>3440</v>
      </c>
      <c r="C514" s="252"/>
      <c r="D514" s="252"/>
    </row>
    <row r="515" spans="1:4" x14ac:dyDescent="0.35">
      <c r="A515" s="264">
        <v>34023990</v>
      </c>
      <c r="B515" s="252" t="s">
        <v>3440</v>
      </c>
      <c r="C515" s="252"/>
      <c r="D515" s="252"/>
    </row>
    <row r="516" spans="1:4" x14ac:dyDescent="0.35">
      <c r="A516" s="264">
        <v>34024200</v>
      </c>
      <c r="B516" s="252" t="s">
        <v>3440</v>
      </c>
      <c r="C516" s="252"/>
      <c r="D516" s="252"/>
    </row>
    <row r="517" spans="1:4" x14ac:dyDescent="0.35">
      <c r="A517" s="264">
        <v>34029019</v>
      </c>
      <c r="B517" s="252" t="s">
        <v>3440</v>
      </c>
      <c r="C517" s="252"/>
      <c r="D517" s="252"/>
    </row>
    <row r="518" spans="1:4" x14ac:dyDescent="0.35">
      <c r="A518" s="264">
        <v>34029029</v>
      </c>
      <c r="B518" s="252" t="s">
        <v>3440</v>
      </c>
      <c r="C518" s="252"/>
      <c r="D518" s="252"/>
    </row>
    <row r="519" spans="1:4" x14ac:dyDescent="0.35">
      <c r="A519" s="264">
        <v>38249929</v>
      </c>
      <c r="B519" s="252" t="s">
        <v>3440</v>
      </c>
      <c r="C519" s="252"/>
      <c r="D519" s="252"/>
    </row>
    <row r="520" spans="1:4" x14ac:dyDescent="0.35">
      <c r="A520" s="264">
        <v>39069011</v>
      </c>
      <c r="B520" s="252" t="s">
        <v>3440</v>
      </c>
      <c r="C520" s="252"/>
      <c r="D520" s="252"/>
    </row>
    <row r="521" spans="1:4" x14ac:dyDescent="0.35">
      <c r="A521" s="264">
        <v>39123990</v>
      </c>
      <c r="B521" s="252" t="s">
        <v>3440</v>
      </c>
      <c r="C521" s="252"/>
      <c r="D521" s="252"/>
    </row>
    <row r="522" spans="1:4" x14ac:dyDescent="0.35">
      <c r="A522" s="264">
        <v>39191010</v>
      </c>
      <c r="B522" s="252" t="s">
        <v>3440</v>
      </c>
      <c r="C522" s="252"/>
      <c r="D522" s="252"/>
    </row>
    <row r="523" spans="1:4" x14ac:dyDescent="0.35">
      <c r="A523" s="264">
        <v>39199090</v>
      </c>
      <c r="B523" s="252" t="s">
        <v>3440</v>
      </c>
      <c r="C523" s="252"/>
      <c r="D523" s="252"/>
    </row>
    <row r="524" spans="1:4" x14ac:dyDescent="0.35">
      <c r="A524" s="264">
        <v>39233090</v>
      </c>
      <c r="B524" s="252" t="s">
        <v>3440</v>
      </c>
      <c r="C524" s="252"/>
      <c r="D524" s="252"/>
    </row>
    <row r="525" spans="1:4" x14ac:dyDescent="0.35">
      <c r="A525" s="264">
        <v>39235000</v>
      </c>
      <c r="B525" s="252" t="s">
        <v>3440</v>
      </c>
      <c r="C525" s="252"/>
      <c r="D525" s="252"/>
    </row>
    <row r="526" spans="1:4" x14ac:dyDescent="0.35">
      <c r="A526" s="264">
        <v>39239090</v>
      </c>
      <c r="B526" s="252" t="s">
        <v>3440</v>
      </c>
      <c r="C526" s="252"/>
      <c r="D526" s="252"/>
    </row>
    <row r="527" spans="1:4" x14ac:dyDescent="0.35">
      <c r="A527" s="264">
        <v>44152000</v>
      </c>
      <c r="B527" s="252" t="s">
        <v>3440</v>
      </c>
      <c r="C527" s="252"/>
      <c r="D527" s="252"/>
    </row>
    <row r="528" spans="1:4" x14ac:dyDescent="0.35">
      <c r="A528" s="264">
        <v>48191000</v>
      </c>
      <c r="B528" s="252" t="s">
        <v>3440</v>
      </c>
      <c r="C528" s="252"/>
      <c r="D528" s="252"/>
    </row>
    <row r="529" spans="1:4" x14ac:dyDescent="0.35">
      <c r="A529" s="264">
        <v>73101090</v>
      </c>
      <c r="B529" s="252" t="s">
        <v>3440</v>
      </c>
      <c r="C529" s="252"/>
      <c r="D529" s="252"/>
    </row>
    <row r="530" spans="1:4" x14ac:dyDescent="0.35">
      <c r="A530" s="264">
        <v>83099000</v>
      </c>
      <c r="B530" s="252" t="s">
        <v>3440</v>
      </c>
      <c r="C530" s="252"/>
      <c r="D530" s="252"/>
    </row>
    <row r="531" spans="1:4" x14ac:dyDescent="0.35">
      <c r="A531" s="264">
        <v>86090000</v>
      </c>
      <c r="B531" s="252" t="s">
        <v>3440</v>
      </c>
      <c r="C531" s="252"/>
      <c r="D531" s="252"/>
    </row>
    <row r="532" spans="1:4" x14ac:dyDescent="0.35">
      <c r="A532" s="264">
        <v>33074100</v>
      </c>
      <c r="B532" s="252" t="s">
        <v>3441</v>
      </c>
      <c r="C532" s="252"/>
      <c r="D532" s="252"/>
    </row>
    <row r="533" spans="1:4" x14ac:dyDescent="0.35">
      <c r="A533" s="264">
        <v>39232190</v>
      </c>
      <c r="B533" s="252" t="s">
        <v>3441</v>
      </c>
      <c r="C533" s="252"/>
      <c r="D533" s="252"/>
    </row>
    <row r="534" spans="1:4" x14ac:dyDescent="0.35">
      <c r="A534" s="264">
        <v>39269090</v>
      </c>
      <c r="B534" s="252" t="s">
        <v>3441</v>
      </c>
      <c r="C534" s="252"/>
      <c r="D534" s="252"/>
    </row>
    <row r="535" spans="1:4" x14ac:dyDescent="0.35">
      <c r="A535" s="264">
        <v>40151900</v>
      </c>
      <c r="B535" s="252" t="s">
        <v>3441</v>
      </c>
      <c r="C535" s="252"/>
      <c r="D535" s="252"/>
    </row>
    <row r="536" spans="1:4" x14ac:dyDescent="0.35">
      <c r="A536" s="264">
        <v>40169300</v>
      </c>
      <c r="B536" s="252" t="s">
        <v>3441</v>
      </c>
      <c r="C536" s="252"/>
      <c r="D536" s="252"/>
    </row>
    <row r="537" spans="1:4" x14ac:dyDescent="0.35">
      <c r="A537" s="264">
        <v>72155000</v>
      </c>
      <c r="B537" s="252" t="s">
        <v>3441</v>
      </c>
      <c r="C537" s="252"/>
      <c r="D537" s="252"/>
    </row>
    <row r="538" spans="1:4" x14ac:dyDescent="0.35">
      <c r="A538" s="264">
        <v>72162100</v>
      </c>
      <c r="B538" s="252" t="s">
        <v>3441</v>
      </c>
      <c r="C538" s="252"/>
      <c r="D538" s="252"/>
    </row>
    <row r="539" spans="1:4" x14ac:dyDescent="0.35">
      <c r="A539" s="264">
        <v>72191200</v>
      </c>
      <c r="B539" s="252" t="s">
        <v>3441</v>
      </c>
      <c r="C539" s="252"/>
      <c r="D539" s="252"/>
    </row>
    <row r="540" spans="1:4" x14ac:dyDescent="0.35">
      <c r="A540" s="264">
        <v>73041900</v>
      </c>
      <c r="B540" s="252" t="s">
        <v>3441</v>
      </c>
      <c r="C540" s="252"/>
      <c r="D540" s="252"/>
    </row>
    <row r="541" spans="1:4" x14ac:dyDescent="0.35">
      <c r="A541" s="264">
        <v>73072200</v>
      </c>
      <c r="B541" s="252" t="s">
        <v>3441</v>
      </c>
      <c r="C541" s="252"/>
      <c r="D541" s="252"/>
    </row>
    <row r="542" spans="1:4" x14ac:dyDescent="0.35">
      <c r="A542" s="264">
        <v>73079100</v>
      </c>
      <c r="B542" s="252" t="s">
        <v>3441</v>
      </c>
      <c r="C542" s="252"/>
      <c r="D542" s="252"/>
    </row>
    <row r="543" spans="1:4" x14ac:dyDescent="0.35">
      <c r="A543" s="264">
        <v>73079300</v>
      </c>
      <c r="B543" s="252" t="s">
        <v>3441</v>
      </c>
      <c r="C543" s="252"/>
      <c r="D543" s="252"/>
    </row>
    <row r="544" spans="1:4" x14ac:dyDescent="0.35">
      <c r="A544" s="264">
        <v>73089090</v>
      </c>
      <c r="B544" s="252" t="s">
        <v>3441</v>
      </c>
      <c r="C544" s="252"/>
      <c r="D544" s="252"/>
    </row>
    <row r="545" spans="1:4" x14ac:dyDescent="0.35">
      <c r="A545" s="264">
        <v>73182100</v>
      </c>
      <c r="B545" s="252" t="s">
        <v>3441</v>
      </c>
      <c r="C545" s="252"/>
      <c r="D545" s="252"/>
    </row>
    <row r="546" spans="1:4" x14ac:dyDescent="0.35">
      <c r="A546" s="264">
        <v>73202010</v>
      </c>
      <c r="B546" s="252" t="s">
        <v>3441</v>
      </c>
      <c r="C546" s="252"/>
      <c r="D546" s="252"/>
    </row>
    <row r="547" spans="1:4" x14ac:dyDescent="0.35">
      <c r="A547" s="264">
        <v>73269090</v>
      </c>
      <c r="B547" s="252" t="s">
        <v>3441</v>
      </c>
      <c r="C547" s="252"/>
      <c r="D547" s="252"/>
    </row>
    <row r="548" spans="1:4" x14ac:dyDescent="0.35">
      <c r="A548" s="264">
        <v>76169900</v>
      </c>
      <c r="B548" s="252" t="s">
        <v>3441</v>
      </c>
      <c r="C548" s="252"/>
      <c r="D548" s="252"/>
    </row>
    <row r="549" spans="1:4" x14ac:dyDescent="0.35">
      <c r="A549" s="264">
        <v>82041100</v>
      </c>
      <c r="B549" s="252" t="s">
        <v>3441</v>
      </c>
      <c r="C549" s="252"/>
      <c r="D549" s="252"/>
    </row>
    <row r="550" spans="1:4" x14ac:dyDescent="0.35">
      <c r="A550" s="264">
        <v>82055900</v>
      </c>
      <c r="B550" s="252" t="s">
        <v>3441</v>
      </c>
      <c r="C550" s="252"/>
      <c r="D550" s="252"/>
    </row>
    <row r="551" spans="1:4" x14ac:dyDescent="0.35">
      <c r="A551" s="264">
        <v>82060000</v>
      </c>
      <c r="B551" s="252" t="s">
        <v>3441</v>
      </c>
      <c r="C551" s="252"/>
      <c r="D551" s="252"/>
    </row>
    <row r="552" spans="1:4" x14ac:dyDescent="0.35">
      <c r="A552" s="264">
        <v>84021100</v>
      </c>
      <c r="B552" s="252" t="s">
        <v>3441</v>
      </c>
      <c r="C552" s="252"/>
      <c r="D552" s="252"/>
    </row>
    <row r="553" spans="1:4" x14ac:dyDescent="0.35">
      <c r="A553" s="264">
        <v>84069011</v>
      </c>
      <c r="B553" s="252" t="s">
        <v>3441</v>
      </c>
      <c r="C553" s="252"/>
      <c r="D553" s="252"/>
    </row>
    <row r="554" spans="1:4" x14ac:dyDescent="0.35">
      <c r="A554" s="264">
        <v>84137080</v>
      </c>
      <c r="B554" s="252" t="s">
        <v>3441</v>
      </c>
      <c r="C554" s="252"/>
      <c r="D554" s="252"/>
    </row>
    <row r="555" spans="1:4" x14ac:dyDescent="0.35">
      <c r="A555" s="264">
        <v>84137090</v>
      </c>
      <c r="B555" s="252" t="s">
        <v>3441</v>
      </c>
      <c r="C555" s="252"/>
      <c r="D555" s="252"/>
    </row>
    <row r="556" spans="1:4" x14ac:dyDescent="0.35">
      <c r="A556" s="264">
        <v>84139190</v>
      </c>
      <c r="B556" s="252" t="s">
        <v>3441</v>
      </c>
      <c r="C556" s="252"/>
      <c r="D556" s="252"/>
    </row>
    <row r="557" spans="1:4" x14ac:dyDescent="0.35">
      <c r="A557" s="264">
        <v>84229090</v>
      </c>
      <c r="B557" s="252" t="s">
        <v>3441</v>
      </c>
      <c r="C557" s="252"/>
      <c r="D557" s="252"/>
    </row>
    <row r="558" spans="1:4" x14ac:dyDescent="0.35">
      <c r="A558" s="264">
        <v>84241000</v>
      </c>
      <c r="B558" s="252" t="s">
        <v>3441</v>
      </c>
      <c r="C558" s="252"/>
      <c r="D558" s="252"/>
    </row>
    <row r="559" spans="1:4" x14ac:dyDescent="0.35">
      <c r="A559" s="264">
        <v>84243010</v>
      </c>
      <c r="B559" s="252" t="s">
        <v>3441</v>
      </c>
      <c r="C559" s="252"/>
      <c r="D559" s="252"/>
    </row>
    <row r="560" spans="1:4" x14ac:dyDescent="0.35">
      <c r="A560" s="264">
        <v>84272090</v>
      </c>
      <c r="B560" s="252" t="s">
        <v>3441</v>
      </c>
      <c r="C560" s="252"/>
      <c r="D560" s="252"/>
    </row>
    <row r="561" spans="1:4" x14ac:dyDescent="0.35">
      <c r="A561" s="264">
        <v>84798210</v>
      </c>
      <c r="B561" s="252" t="s">
        <v>3441</v>
      </c>
      <c r="C561" s="252"/>
      <c r="D561" s="252"/>
    </row>
    <row r="562" spans="1:4" x14ac:dyDescent="0.35">
      <c r="A562" s="264">
        <v>84813000</v>
      </c>
      <c r="B562" s="252" t="s">
        <v>3441</v>
      </c>
      <c r="C562" s="252"/>
      <c r="D562" s="252"/>
    </row>
    <row r="563" spans="1:4" x14ac:dyDescent="0.35">
      <c r="A563" s="264">
        <v>84814000</v>
      </c>
      <c r="B563" s="252" t="s">
        <v>3441</v>
      </c>
      <c r="C563" s="252"/>
      <c r="D563" s="252"/>
    </row>
    <row r="564" spans="1:4" x14ac:dyDescent="0.35">
      <c r="A564" s="264">
        <v>84818093</v>
      </c>
      <c r="B564" s="252" t="s">
        <v>3441</v>
      </c>
      <c r="C564" s="252"/>
      <c r="D564" s="252"/>
    </row>
    <row r="565" spans="1:4" x14ac:dyDescent="0.35">
      <c r="A565" s="264">
        <v>84818094</v>
      </c>
      <c r="B565" s="252" t="s">
        <v>3441</v>
      </c>
      <c r="C565" s="252"/>
      <c r="D565" s="252"/>
    </row>
    <row r="566" spans="1:4" x14ac:dyDescent="0.35">
      <c r="A566" s="264">
        <v>84818095</v>
      </c>
      <c r="B566" s="252" t="s">
        <v>3441</v>
      </c>
      <c r="C566" s="252"/>
      <c r="D566" s="252"/>
    </row>
    <row r="567" spans="1:4" x14ac:dyDescent="0.35">
      <c r="A567" s="264">
        <v>84834010</v>
      </c>
      <c r="B567" s="252" t="s">
        <v>3441</v>
      </c>
      <c r="C567" s="252"/>
      <c r="D567" s="252"/>
    </row>
    <row r="568" spans="1:4" x14ac:dyDescent="0.35">
      <c r="A568" s="264">
        <v>84842000</v>
      </c>
      <c r="B568" s="252" t="s">
        <v>3441</v>
      </c>
      <c r="C568" s="252"/>
      <c r="D568" s="252"/>
    </row>
    <row r="569" spans="1:4" x14ac:dyDescent="0.35">
      <c r="A569" s="264">
        <v>85011029</v>
      </c>
      <c r="B569" s="252" t="s">
        <v>3441</v>
      </c>
      <c r="C569" s="252"/>
      <c r="D569" s="252"/>
    </row>
    <row r="570" spans="1:4" x14ac:dyDescent="0.35">
      <c r="A570" s="264">
        <v>85015210</v>
      </c>
      <c r="B570" s="252" t="s">
        <v>3441</v>
      </c>
      <c r="C570" s="252"/>
      <c r="D570" s="252"/>
    </row>
    <row r="571" spans="1:4" x14ac:dyDescent="0.35">
      <c r="A571" s="264">
        <v>85044050</v>
      </c>
      <c r="B571" s="252" t="s">
        <v>3441</v>
      </c>
      <c r="C571" s="252"/>
      <c r="D571" s="252"/>
    </row>
    <row r="572" spans="1:4" x14ac:dyDescent="0.35">
      <c r="A572" s="264">
        <v>85061039</v>
      </c>
      <c r="B572" s="252" t="s">
        <v>3441</v>
      </c>
      <c r="C572" s="252"/>
      <c r="D572" s="252"/>
    </row>
    <row r="573" spans="1:4" x14ac:dyDescent="0.35">
      <c r="A573" s="264">
        <v>85176256</v>
      </c>
      <c r="B573" s="252" t="s">
        <v>3441</v>
      </c>
      <c r="C573" s="252"/>
      <c r="D573" s="252"/>
    </row>
    <row r="574" spans="1:4" x14ac:dyDescent="0.35">
      <c r="A574" s="264">
        <v>85232919</v>
      </c>
      <c r="B574" s="252" t="s">
        <v>3441</v>
      </c>
      <c r="C574" s="252"/>
      <c r="D574" s="252"/>
    </row>
    <row r="575" spans="1:4" x14ac:dyDescent="0.35">
      <c r="A575" s="264">
        <v>85359090</v>
      </c>
      <c r="B575" s="252" t="s">
        <v>3441</v>
      </c>
      <c r="C575" s="252"/>
      <c r="D575" s="252"/>
    </row>
    <row r="576" spans="1:4" x14ac:dyDescent="0.35">
      <c r="A576" s="264">
        <v>85362000</v>
      </c>
      <c r="B576" s="252" t="s">
        <v>3441</v>
      </c>
      <c r="C576" s="252"/>
      <c r="D576" s="252"/>
    </row>
    <row r="577" spans="1:4" x14ac:dyDescent="0.35">
      <c r="A577" s="264">
        <v>85381000</v>
      </c>
      <c r="B577" s="252" t="s">
        <v>3441</v>
      </c>
      <c r="C577" s="252"/>
      <c r="D577" s="252"/>
    </row>
    <row r="578" spans="1:4" x14ac:dyDescent="0.35">
      <c r="A578" s="264">
        <v>85389010</v>
      </c>
      <c r="B578" s="252" t="s">
        <v>3441</v>
      </c>
      <c r="C578" s="252"/>
      <c r="D578" s="252"/>
    </row>
    <row r="579" spans="1:4" x14ac:dyDescent="0.35">
      <c r="A579" s="264">
        <v>87085012</v>
      </c>
      <c r="B579" s="252" t="s">
        <v>3441</v>
      </c>
      <c r="C579" s="252"/>
      <c r="D579" s="252"/>
    </row>
    <row r="580" spans="1:4" x14ac:dyDescent="0.35">
      <c r="A580" s="264">
        <v>88071000</v>
      </c>
      <c r="B580" s="252" t="s">
        <v>3441</v>
      </c>
      <c r="C580" s="252"/>
      <c r="D580" s="252"/>
    </row>
    <row r="581" spans="1:4" x14ac:dyDescent="0.35">
      <c r="A581" s="264">
        <v>90173020</v>
      </c>
      <c r="B581" s="252" t="s">
        <v>3441</v>
      </c>
      <c r="C581" s="252"/>
      <c r="D581" s="252"/>
    </row>
    <row r="582" spans="1:4" x14ac:dyDescent="0.35">
      <c r="A582" s="264">
        <v>90173090</v>
      </c>
      <c r="B582" s="252" t="s">
        <v>3441</v>
      </c>
      <c r="C582" s="252"/>
      <c r="D582" s="252"/>
    </row>
    <row r="583" spans="1:4" x14ac:dyDescent="0.35">
      <c r="A583" s="264">
        <v>90251111</v>
      </c>
      <c r="B583" s="252" t="s">
        <v>3441</v>
      </c>
      <c r="C583" s="252"/>
      <c r="D583" s="252"/>
    </row>
    <row r="584" spans="1:4" x14ac:dyDescent="0.35">
      <c r="A584" s="264">
        <v>90258000</v>
      </c>
      <c r="B584" s="252" t="s">
        <v>3441</v>
      </c>
      <c r="C584" s="252"/>
      <c r="D584" s="252"/>
    </row>
    <row r="585" spans="1:4" x14ac:dyDescent="0.35">
      <c r="A585" s="264">
        <v>90261029</v>
      </c>
      <c r="B585" s="252" t="s">
        <v>3441</v>
      </c>
      <c r="C585" s="252"/>
      <c r="D585" s="252"/>
    </row>
    <row r="586" spans="1:4" x14ac:dyDescent="0.35">
      <c r="A586" s="264">
        <v>90262090</v>
      </c>
      <c r="B586" s="252" t="s">
        <v>3441</v>
      </c>
      <c r="C586" s="252"/>
      <c r="D586" s="252"/>
    </row>
    <row r="587" spans="1:4" x14ac:dyDescent="0.35">
      <c r="A587" s="264">
        <v>90303100</v>
      </c>
      <c r="B587" s="252" t="s">
        <v>3441</v>
      </c>
      <c r="C587" s="252"/>
      <c r="D587" s="252"/>
    </row>
    <row r="588" spans="1:4" x14ac:dyDescent="0.35">
      <c r="A588" s="264">
        <v>90318099</v>
      </c>
      <c r="B588" s="252" t="s">
        <v>3441</v>
      </c>
      <c r="C588" s="252"/>
      <c r="D588" s="252"/>
    </row>
    <row r="589" spans="1:4" x14ac:dyDescent="0.35">
      <c r="A589" s="264">
        <v>90329099</v>
      </c>
      <c r="B589" s="252" t="s">
        <v>3441</v>
      </c>
      <c r="C589" s="252"/>
      <c r="D589" s="252"/>
    </row>
    <row r="590" spans="1:4" x14ac:dyDescent="0.35">
      <c r="A590" s="264">
        <v>39159000</v>
      </c>
      <c r="B590" s="252" t="s">
        <v>3442</v>
      </c>
      <c r="C590" s="252"/>
      <c r="D590" s="252"/>
    </row>
    <row r="591" spans="1:4" x14ac:dyDescent="0.35">
      <c r="A591" s="264">
        <v>39239090</v>
      </c>
      <c r="B591" s="252" t="s">
        <v>3442</v>
      </c>
      <c r="C591" s="252"/>
      <c r="D591" s="252"/>
    </row>
    <row r="592" spans="1:4" x14ac:dyDescent="0.35">
      <c r="A592" s="264">
        <v>70179000</v>
      </c>
      <c r="B592" s="252" t="s">
        <v>3442</v>
      </c>
      <c r="C592" s="252"/>
      <c r="D592" s="252"/>
    </row>
    <row r="593" spans="1:4" x14ac:dyDescent="0.35">
      <c r="A593" s="264">
        <v>85444200</v>
      </c>
      <c r="B593" s="252" t="s">
        <v>3442</v>
      </c>
      <c r="C593" s="252"/>
      <c r="D593" s="252"/>
    </row>
    <row r="594" spans="1:4" x14ac:dyDescent="0.35">
      <c r="A594" s="264">
        <v>90279099</v>
      </c>
      <c r="B594" s="252" t="s">
        <v>3442</v>
      </c>
      <c r="C594" s="252"/>
      <c r="D594" s="252"/>
    </row>
    <row r="595" spans="1:4" x14ac:dyDescent="0.35">
      <c r="A595" s="264">
        <v>39159000</v>
      </c>
      <c r="B595" s="252" t="s">
        <v>3443</v>
      </c>
      <c r="C595" s="252"/>
      <c r="D595" s="252"/>
    </row>
    <row r="596" spans="1:4" x14ac:dyDescent="0.35">
      <c r="A596" s="264">
        <v>84798210</v>
      </c>
      <c r="B596" s="252" t="s">
        <v>3443</v>
      </c>
      <c r="C596" s="252"/>
      <c r="D596" s="252"/>
    </row>
    <row r="597" spans="1:4" x14ac:dyDescent="0.35">
      <c r="A597" s="264">
        <v>22019000</v>
      </c>
      <c r="B597" s="252" t="s">
        <v>3444</v>
      </c>
      <c r="C597" s="252"/>
      <c r="D597" s="252"/>
    </row>
    <row r="598" spans="1:4" x14ac:dyDescent="0.35">
      <c r="A598" s="264">
        <v>25010011</v>
      </c>
      <c r="B598" s="252" t="s">
        <v>3444</v>
      </c>
      <c r="C598" s="252"/>
      <c r="D598" s="252"/>
    </row>
    <row r="599" spans="1:4" x14ac:dyDescent="0.35">
      <c r="A599" s="264">
        <v>28092011</v>
      </c>
      <c r="B599" s="252" t="s">
        <v>3444</v>
      </c>
      <c r="C599" s="252"/>
      <c r="D599" s="252"/>
    </row>
    <row r="600" spans="1:4" x14ac:dyDescent="0.35">
      <c r="A600" s="264">
        <v>28100010</v>
      </c>
      <c r="B600" s="252" t="s">
        <v>3444</v>
      </c>
      <c r="C600" s="252"/>
      <c r="D600" s="252"/>
    </row>
    <row r="601" spans="1:4" x14ac:dyDescent="0.35">
      <c r="A601" s="264">
        <v>28111990</v>
      </c>
      <c r="B601" s="252" t="s">
        <v>3444</v>
      </c>
      <c r="C601" s="252"/>
      <c r="D601" s="252"/>
    </row>
    <row r="602" spans="1:4" x14ac:dyDescent="0.35">
      <c r="A602" s="264">
        <v>28151200</v>
      </c>
      <c r="B602" s="252" t="s">
        <v>3444</v>
      </c>
      <c r="C602" s="252"/>
      <c r="D602" s="252"/>
    </row>
    <row r="603" spans="1:4" x14ac:dyDescent="0.35">
      <c r="A603" s="264">
        <v>28289011</v>
      </c>
      <c r="B603" s="252" t="s">
        <v>3444</v>
      </c>
      <c r="C603" s="252"/>
      <c r="D603" s="252"/>
    </row>
    <row r="604" spans="1:4" x14ac:dyDescent="0.35">
      <c r="A604" s="264">
        <v>28331110</v>
      </c>
      <c r="B604" s="252" t="s">
        <v>3444</v>
      </c>
      <c r="C604" s="252"/>
      <c r="D604" s="252"/>
    </row>
    <row r="605" spans="1:4" x14ac:dyDescent="0.35">
      <c r="A605" s="264">
        <v>29053100</v>
      </c>
      <c r="B605" s="252" t="s">
        <v>3444</v>
      </c>
      <c r="C605" s="252"/>
      <c r="D605" s="252"/>
    </row>
    <row r="606" spans="1:4" x14ac:dyDescent="0.35">
      <c r="A606" s="264">
        <v>29053200</v>
      </c>
      <c r="B606" s="252" t="s">
        <v>3444</v>
      </c>
      <c r="C606" s="252"/>
      <c r="D606" s="252"/>
    </row>
    <row r="607" spans="1:4" x14ac:dyDescent="0.35">
      <c r="A607" s="264">
        <v>29101000</v>
      </c>
      <c r="B607" s="252" t="s">
        <v>3444</v>
      </c>
      <c r="C607" s="252"/>
      <c r="D607" s="252"/>
    </row>
    <row r="608" spans="1:4" x14ac:dyDescent="0.35">
      <c r="A608" s="264">
        <v>29126000</v>
      </c>
      <c r="B608" s="252" t="s">
        <v>3444</v>
      </c>
      <c r="C608" s="252"/>
      <c r="D608" s="252"/>
    </row>
    <row r="609" spans="1:4" x14ac:dyDescent="0.35">
      <c r="A609" s="264">
        <v>29181400</v>
      </c>
      <c r="B609" s="252" t="s">
        <v>3444</v>
      </c>
      <c r="C609" s="252"/>
      <c r="D609" s="252"/>
    </row>
    <row r="610" spans="1:4" x14ac:dyDescent="0.35">
      <c r="A610" s="264">
        <v>29221100</v>
      </c>
      <c r="B610" s="252" t="s">
        <v>3444</v>
      </c>
      <c r="C610" s="252"/>
      <c r="D610" s="252"/>
    </row>
    <row r="611" spans="1:4" x14ac:dyDescent="0.35">
      <c r="A611" s="264">
        <v>29332999</v>
      </c>
      <c r="B611" s="252" t="s">
        <v>3444</v>
      </c>
      <c r="C611" s="252"/>
      <c r="D611" s="252"/>
    </row>
    <row r="612" spans="1:4" x14ac:dyDescent="0.35">
      <c r="A612" s="264">
        <v>29336921</v>
      </c>
      <c r="B612" s="252" t="s">
        <v>3444</v>
      </c>
      <c r="C612" s="252"/>
      <c r="D612" s="252"/>
    </row>
    <row r="613" spans="1:4" x14ac:dyDescent="0.35">
      <c r="A613" s="264">
        <v>34023100</v>
      </c>
      <c r="B613" s="252" t="s">
        <v>3444</v>
      </c>
      <c r="C613" s="252"/>
      <c r="D613" s="252"/>
    </row>
    <row r="614" spans="1:4" x14ac:dyDescent="0.35">
      <c r="A614" s="264">
        <v>34023990</v>
      </c>
      <c r="B614" s="252" t="s">
        <v>3444</v>
      </c>
      <c r="C614" s="252"/>
      <c r="D614" s="252"/>
    </row>
    <row r="615" spans="1:4" x14ac:dyDescent="0.35">
      <c r="A615" s="264">
        <v>34024200</v>
      </c>
      <c r="B615" s="252" t="s">
        <v>3444</v>
      </c>
      <c r="C615" s="252"/>
      <c r="D615" s="252"/>
    </row>
    <row r="616" spans="1:4" x14ac:dyDescent="0.35">
      <c r="A616" s="264">
        <v>34029011</v>
      </c>
      <c r="B616" s="252" t="s">
        <v>3444</v>
      </c>
      <c r="C616" s="252"/>
      <c r="D616" s="252"/>
    </row>
    <row r="617" spans="1:4" x14ac:dyDescent="0.35">
      <c r="A617" s="264">
        <v>34029029</v>
      </c>
      <c r="B617" s="252" t="s">
        <v>3444</v>
      </c>
      <c r="C617" s="252"/>
      <c r="D617" s="252"/>
    </row>
    <row r="618" spans="1:4" x14ac:dyDescent="0.35">
      <c r="A618" s="264">
        <v>34042010</v>
      </c>
      <c r="B618" s="252" t="s">
        <v>3444</v>
      </c>
      <c r="C618" s="252"/>
      <c r="D618" s="252"/>
    </row>
    <row r="619" spans="1:4" x14ac:dyDescent="0.35">
      <c r="A619" s="264">
        <v>34049019</v>
      </c>
      <c r="B619" s="252" t="s">
        <v>3444</v>
      </c>
      <c r="C619" s="252"/>
      <c r="D619" s="252"/>
    </row>
    <row r="620" spans="1:4" x14ac:dyDescent="0.35">
      <c r="A620" s="264">
        <v>38089429</v>
      </c>
      <c r="B620" s="252" t="s">
        <v>3444</v>
      </c>
      <c r="C620" s="252"/>
      <c r="D620" s="252"/>
    </row>
    <row r="621" spans="1:4" x14ac:dyDescent="0.35">
      <c r="A621" s="264">
        <v>38231990</v>
      </c>
      <c r="B621" s="252" t="s">
        <v>3444</v>
      </c>
      <c r="C621" s="252"/>
      <c r="D621" s="252"/>
    </row>
    <row r="622" spans="1:4" x14ac:dyDescent="0.35">
      <c r="A622" s="264">
        <v>38237010</v>
      </c>
      <c r="B622" s="252" t="s">
        <v>3444</v>
      </c>
      <c r="C622" s="252"/>
      <c r="D622" s="252"/>
    </row>
    <row r="623" spans="1:4" x14ac:dyDescent="0.35">
      <c r="A623" s="264">
        <v>38237020</v>
      </c>
      <c r="B623" s="252" t="s">
        <v>3444</v>
      </c>
      <c r="C623" s="252"/>
      <c r="D623" s="252"/>
    </row>
    <row r="624" spans="1:4" x14ac:dyDescent="0.35">
      <c r="A624" s="264">
        <v>38249929</v>
      </c>
      <c r="B624" s="252" t="s">
        <v>3444</v>
      </c>
      <c r="C624" s="252"/>
      <c r="D624" s="252"/>
    </row>
    <row r="625" spans="1:4" x14ac:dyDescent="0.35">
      <c r="A625" s="264">
        <v>38249989</v>
      </c>
      <c r="B625" s="252" t="s">
        <v>3444</v>
      </c>
      <c r="C625" s="252"/>
      <c r="D625" s="252"/>
    </row>
    <row r="626" spans="1:4" x14ac:dyDescent="0.35">
      <c r="A626" s="264">
        <v>39199090</v>
      </c>
      <c r="B626" s="252" t="s">
        <v>3444</v>
      </c>
      <c r="C626" s="252"/>
      <c r="D626" s="252"/>
    </row>
    <row r="627" spans="1:4" x14ac:dyDescent="0.35">
      <c r="A627" s="264">
        <v>39232190</v>
      </c>
      <c r="B627" s="252" t="s">
        <v>3444</v>
      </c>
      <c r="C627" s="252"/>
      <c r="D627" s="252"/>
    </row>
    <row r="628" spans="1:4" x14ac:dyDescent="0.35">
      <c r="A628" s="264">
        <v>39233090</v>
      </c>
      <c r="B628" s="252" t="s">
        <v>3444</v>
      </c>
      <c r="C628" s="252"/>
      <c r="D628" s="252"/>
    </row>
    <row r="629" spans="1:4" x14ac:dyDescent="0.35">
      <c r="A629" s="264">
        <v>39235000</v>
      </c>
      <c r="B629" s="252" t="s">
        <v>3444</v>
      </c>
      <c r="C629" s="252"/>
      <c r="D629" s="252"/>
    </row>
    <row r="630" spans="1:4" x14ac:dyDescent="0.35">
      <c r="A630" s="264">
        <v>39239090</v>
      </c>
      <c r="B630" s="252" t="s">
        <v>3444</v>
      </c>
      <c r="C630" s="252"/>
      <c r="D630" s="252"/>
    </row>
    <row r="631" spans="1:4" x14ac:dyDescent="0.35">
      <c r="A631" s="264">
        <v>44152000</v>
      </c>
      <c r="B631" s="252" t="s">
        <v>3444</v>
      </c>
      <c r="C631" s="252"/>
      <c r="D631" s="252"/>
    </row>
    <row r="632" spans="1:4" x14ac:dyDescent="0.35">
      <c r="A632" s="264">
        <v>73101090</v>
      </c>
      <c r="B632" s="252" t="s">
        <v>3444</v>
      </c>
      <c r="C632" s="252"/>
      <c r="D632" s="252"/>
    </row>
    <row r="633" spans="1:4" x14ac:dyDescent="0.35">
      <c r="A633" s="264">
        <v>83099000</v>
      </c>
      <c r="B633" s="252" t="s">
        <v>3444</v>
      </c>
      <c r="C633" s="252"/>
      <c r="D633" s="252"/>
    </row>
    <row r="634" spans="1:4" x14ac:dyDescent="0.35">
      <c r="A634" s="264">
        <v>86090000</v>
      </c>
      <c r="B634" s="252" t="s">
        <v>3444</v>
      </c>
      <c r="C634" s="252"/>
      <c r="D634" s="252"/>
    </row>
    <row r="635" spans="1:4" x14ac:dyDescent="0.35">
      <c r="A635" s="264">
        <v>38249929</v>
      </c>
      <c r="B635" s="252" t="s">
        <v>3445</v>
      </c>
      <c r="C635" s="252"/>
      <c r="D635" s="252"/>
    </row>
    <row r="636" spans="1:4" x14ac:dyDescent="0.35">
      <c r="A636" s="264">
        <v>33074100</v>
      </c>
      <c r="B636" s="252" t="s">
        <v>3446</v>
      </c>
      <c r="C636" s="252"/>
      <c r="D636" s="252"/>
    </row>
    <row r="637" spans="1:4" x14ac:dyDescent="0.35">
      <c r="A637" s="264">
        <v>39159000</v>
      </c>
      <c r="B637" s="252" t="s">
        <v>3446</v>
      </c>
      <c r="C637" s="252"/>
      <c r="D637" s="252"/>
    </row>
    <row r="638" spans="1:4" x14ac:dyDescent="0.35">
      <c r="A638" s="264">
        <v>40169300</v>
      </c>
      <c r="B638" s="252" t="s">
        <v>3446</v>
      </c>
      <c r="C638" s="252"/>
      <c r="D638" s="252"/>
    </row>
    <row r="639" spans="1:4" x14ac:dyDescent="0.35">
      <c r="A639" s="264">
        <v>73072900</v>
      </c>
      <c r="B639" s="252" t="s">
        <v>3446</v>
      </c>
      <c r="C639" s="252"/>
      <c r="D639" s="252"/>
    </row>
    <row r="640" spans="1:4" x14ac:dyDescent="0.35">
      <c r="A640" s="264">
        <v>73079300</v>
      </c>
      <c r="B640" s="252" t="s">
        <v>3446</v>
      </c>
      <c r="C640" s="252"/>
      <c r="D640" s="252"/>
    </row>
    <row r="641" spans="1:4" x14ac:dyDescent="0.35">
      <c r="A641" s="264">
        <v>84194020</v>
      </c>
      <c r="B641" s="252" t="s">
        <v>3446</v>
      </c>
      <c r="C641" s="252"/>
      <c r="D641" s="252"/>
    </row>
    <row r="642" spans="1:4" x14ac:dyDescent="0.35">
      <c r="A642" s="264">
        <v>84672100</v>
      </c>
      <c r="B642" s="252" t="s">
        <v>3446</v>
      </c>
      <c r="C642" s="252"/>
      <c r="D642" s="252"/>
    </row>
    <row r="643" spans="1:4" x14ac:dyDescent="0.35">
      <c r="A643" s="264">
        <v>84672999</v>
      </c>
      <c r="B643" s="252" t="s">
        <v>3446</v>
      </c>
      <c r="C643" s="252"/>
      <c r="D643" s="252"/>
    </row>
    <row r="644" spans="1:4" x14ac:dyDescent="0.35">
      <c r="A644" s="264">
        <v>84798210</v>
      </c>
      <c r="B644" s="252" t="s">
        <v>3446</v>
      </c>
      <c r="C644" s="252"/>
      <c r="D644" s="252"/>
    </row>
    <row r="645" spans="1:4" x14ac:dyDescent="0.35">
      <c r="A645" s="264">
        <v>84818096</v>
      </c>
      <c r="B645" s="252" t="s">
        <v>3446</v>
      </c>
      <c r="C645" s="252"/>
      <c r="D645" s="252"/>
    </row>
    <row r="646" spans="1:4" x14ac:dyDescent="0.35">
      <c r="A646" s="264">
        <v>85015210</v>
      </c>
      <c r="B646" s="252" t="s">
        <v>3446</v>
      </c>
      <c r="C646" s="252"/>
      <c r="D646" s="252"/>
    </row>
    <row r="647" spans="1:4" x14ac:dyDescent="0.35">
      <c r="A647" s="264">
        <v>90262090</v>
      </c>
      <c r="B647" s="252" t="s">
        <v>3446</v>
      </c>
      <c r="C647" s="252"/>
      <c r="D647" s="252"/>
    </row>
    <row r="648" spans="1:4" x14ac:dyDescent="0.35">
      <c r="A648" s="264">
        <v>29053100</v>
      </c>
      <c r="B648" s="252" t="s">
        <v>3447</v>
      </c>
      <c r="C648" s="252"/>
      <c r="D648" s="252"/>
    </row>
    <row r="649" spans="1:4" x14ac:dyDescent="0.35">
      <c r="A649" s="264">
        <v>29094100</v>
      </c>
      <c r="B649" s="252" t="s">
        <v>3447</v>
      </c>
      <c r="C649" s="252"/>
      <c r="D649" s="252"/>
    </row>
    <row r="650" spans="1:4" x14ac:dyDescent="0.35">
      <c r="A650" s="264">
        <v>27101991</v>
      </c>
      <c r="B650" s="252" t="s">
        <v>3448</v>
      </c>
      <c r="C650" s="252"/>
      <c r="D650" s="252"/>
    </row>
    <row r="651" spans="1:4" x14ac:dyDescent="0.35">
      <c r="A651" s="264">
        <v>15132919</v>
      </c>
      <c r="B651" s="252" t="s">
        <v>3449</v>
      </c>
      <c r="C651" s="252"/>
      <c r="D651" s="252"/>
    </row>
    <row r="652" spans="1:4" x14ac:dyDescent="0.35">
      <c r="A652" s="264">
        <v>15162000</v>
      </c>
      <c r="B652" s="252" t="s">
        <v>3449</v>
      </c>
      <c r="C652" s="252"/>
      <c r="D652" s="252"/>
    </row>
    <row r="653" spans="1:4" x14ac:dyDescent="0.35">
      <c r="A653" s="264">
        <v>22072019</v>
      </c>
      <c r="B653" s="252" t="s">
        <v>3449</v>
      </c>
      <c r="C653" s="252"/>
      <c r="D653" s="252"/>
    </row>
    <row r="654" spans="1:4" x14ac:dyDescent="0.35">
      <c r="A654" s="264">
        <v>27101991</v>
      </c>
      <c r="B654" s="252" t="s">
        <v>3449</v>
      </c>
      <c r="C654" s="252"/>
      <c r="D654" s="252"/>
    </row>
    <row r="655" spans="1:4" x14ac:dyDescent="0.35">
      <c r="A655" s="264">
        <v>27121000</v>
      </c>
      <c r="B655" s="252" t="s">
        <v>3449</v>
      </c>
      <c r="C655" s="252"/>
      <c r="D655" s="252"/>
    </row>
    <row r="656" spans="1:4" x14ac:dyDescent="0.35">
      <c r="A656" s="264">
        <v>29051720</v>
      </c>
      <c r="B656" s="252" t="s">
        <v>3449</v>
      </c>
      <c r="C656" s="252"/>
      <c r="D656" s="252"/>
    </row>
    <row r="657" spans="1:4" x14ac:dyDescent="0.35">
      <c r="A657" s="264">
        <v>29051730</v>
      </c>
      <c r="B657" s="252" t="s">
        <v>3449</v>
      </c>
      <c r="C657" s="252"/>
      <c r="D657" s="252"/>
    </row>
    <row r="658" spans="1:4" x14ac:dyDescent="0.35">
      <c r="A658" s="264">
        <v>29051996</v>
      </c>
      <c r="B658" s="252" t="s">
        <v>3449</v>
      </c>
      <c r="C658" s="252"/>
      <c r="D658" s="252"/>
    </row>
    <row r="659" spans="1:4" x14ac:dyDescent="0.35">
      <c r="A659" s="264">
        <v>29053100</v>
      </c>
      <c r="B659" s="252" t="s">
        <v>3449</v>
      </c>
      <c r="C659" s="252"/>
      <c r="D659" s="252"/>
    </row>
    <row r="660" spans="1:4" x14ac:dyDescent="0.35">
      <c r="A660" s="264">
        <v>29053200</v>
      </c>
      <c r="B660" s="252" t="s">
        <v>3449</v>
      </c>
      <c r="C660" s="252"/>
      <c r="D660" s="252"/>
    </row>
    <row r="661" spans="1:4" x14ac:dyDescent="0.35">
      <c r="A661" s="264">
        <v>29054500</v>
      </c>
      <c r="B661" s="252" t="s">
        <v>3449</v>
      </c>
      <c r="C661" s="252"/>
      <c r="D661" s="252"/>
    </row>
    <row r="662" spans="1:4" x14ac:dyDescent="0.35">
      <c r="A662" s="264">
        <v>29055990</v>
      </c>
      <c r="B662" s="252" t="s">
        <v>3449</v>
      </c>
      <c r="C662" s="252"/>
      <c r="D662" s="252"/>
    </row>
    <row r="663" spans="1:4" x14ac:dyDescent="0.35">
      <c r="A663" s="264">
        <v>29094100</v>
      </c>
      <c r="B663" s="252" t="s">
        <v>3449</v>
      </c>
      <c r="C663" s="252"/>
      <c r="D663" s="252"/>
    </row>
    <row r="664" spans="1:4" x14ac:dyDescent="0.35">
      <c r="A664" s="264">
        <v>29094310</v>
      </c>
      <c r="B664" s="252" t="s">
        <v>3449</v>
      </c>
      <c r="C664" s="252"/>
      <c r="D664" s="252"/>
    </row>
    <row r="665" spans="1:4" x14ac:dyDescent="0.35">
      <c r="A665" s="264">
        <v>29094320</v>
      </c>
      <c r="B665" s="252" t="s">
        <v>3449</v>
      </c>
      <c r="C665" s="252"/>
      <c r="D665" s="252"/>
    </row>
    <row r="666" spans="1:4" x14ac:dyDescent="0.35">
      <c r="A666" s="264">
        <v>29094411</v>
      </c>
      <c r="B666" s="252" t="s">
        <v>3449</v>
      </c>
      <c r="C666" s="252"/>
      <c r="D666" s="252"/>
    </row>
    <row r="667" spans="1:4" x14ac:dyDescent="0.35">
      <c r="A667" s="264">
        <v>29094419</v>
      </c>
      <c r="B667" s="252" t="s">
        <v>3449</v>
      </c>
      <c r="C667" s="252"/>
      <c r="D667" s="252"/>
    </row>
    <row r="668" spans="1:4" x14ac:dyDescent="0.35">
      <c r="A668" s="264">
        <v>29094421</v>
      </c>
      <c r="B668" s="252" t="s">
        <v>3449</v>
      </c>
      <c r="C668" s="252"/>
      <c r="D668" s="252"/>
    </row>
    <row r="669" spans="1:4" x14ac:dyDescent="0.35">
      <c r="A669" s="264">
        <v>29094429</v>
      </c>
      <c r="B669" s="252" t="s">
        <v>3449</v>
      </c>
      <c r="C669" s="252"/>
      <c r="D669" s="252"/>
    </row>
    <row r="670" spans="1:4" x14ac:dyDescent="0.35">
      <c r="A670" s="264">
        <v>29094929</v>
      </c>
      <c r="B670" s="252" t="s">
        <v>3449</v>
      </c>
      <c r="C670" s="252"/>
      <c r="D670" s="252"/>
    </row>
    <row r="671" spans="1:4" x14ac:dyDescent="0.35">
      <c r="A671" s="264">
        <v>29094931</v>
      </c>
      <c r="B671" s="252" t="s">
        <v>3449</v>
      </c>
      <c r="C671" s="252"/>
      <c r="D671" s="252"/>
    </row>
    <row r="672" spans="1:4" x14ac:dyDescent="0.35">
      <c r="A672" s="264">
        <v>29094990</v>
      </c>
      <c r="B672" s="252" t="s">
        <v>3449</v>
      </c>
      <c r="C672" s="252"/>
      <c r="D672" s="252"/>
    </row>
    <row r="673" spans="1:4" x14ac:dyDescent="0.35">
      <c r="A673" s="264">
        <v>29141200</v>
      </c>
      <c r="B673" s="252" t="s">
        <v>3449</v>
      </c>
      <c r="C673" s="252"/>
      <c r="D673" s="252"/>
    </row>
    <row r="674" spans="1:4" x14ac:dyDescent="0.35">
      <c r="A674" s="264">
        <v>29153931</v>
      </c>
      <c r="B674" s="252" t="s">
        <v>3449</v>
      </c>
      <c r="C674" s="252"/>
      <c r="D674" s="252"/>
    </row>
    <row r="675" spans="1:4" x14ac:dyDescent="0.35">
      <c r="A675" s="264">
        <v>29153932</v>
      </c>
      <c r="B675" s="252" t="s">
        <v>3449</v>
      </c>
      <c r="C675" s="252"/>
      <c r="D675" s="252"/>
    </row>
    <row r="676" spans="1:4" x14ac:dyDescent="0.35">
      <c r="A676" s="264">
        <v>29153939</v>
      </c>
      <c r="B676" s="252" t="s">
        <v>3449</v>
      </c>
      <c r="C676" s="252"/>
      <c r="D676" s="252"/>
    </row>
    <row r="677" spans="1:4" x14ac:dyDescent="0.35">
      <c r="A677" s="264">
        <v>29153999</v>
      </c>
      <c r="B677" s="252" t="s">
        <v>3449</v>
      </c>
      <c r="C677" s="252"/>
      <c r="D677" s="252"/>
    </row>
    <row r="678" spans="1:4" x14ac:dyDescent="0.35">
      <c r="A678" s="264">
        <v>29161290</v>
      </c>
      <c r="B678" s="252" t="s">
        <v>3449</v>
      </c>
      <c r="C678" s="252"/>
      <c r="D678" s="252"/>
    </row>
    <row r="679" spans="1:4" x14ac:dyDescent="0.35">
      <c r="A679" s="264">
        <v>29163139</v>
      </c>
      <c r="B679" s="252" t="s">
        <v>3449</v>
      </c>
      <c r="C679" s="252"/>
      <c r="D679" s="252"/>
    </row>
    <row r="680" spans="1:4" x14ac:dyDescent="0.35">
      <c r="A680" s="264">
        <v>29171990</v>
      </c>
      <c r="B680" s="252" t="s">
        <v>3449</v>
      </c>
      <c r="C680" s="252"/>
      <c r="D680" s="252"/>
    </row>
    <row r="681" spans="1:4" x14ac:dyDescent="0.35">
      <c r="A681" s="264">
        <v>29221100</v>
      </c>
      <c r="B681" s="252" t="s">
        <v>3449</v>
      </c>
      <c r="C681" s="252"/>
      <c r="D681" s="252"/>
    </row>
    <row r="682" spans="1:4" x14ac:dyDescent="0.35">
      <c r="A682" s="264">
        <v>29221200</v>
      </c>
      <c r="B682" s="252" t="s">
        <v>3449</v>
      </c>
      <c r="C682" s="252"/>
      <c r="D682" s="252"/>
    </row>
    <row r="683" spans="1:4" x14ac:dyDescent="0.35">
      <c r="A683" s="264">
        <v>29221500</v>
      </c>
      <c r="B683" s="252" t="s">
        <v>3449</v>
      </c>
      <c r="C683" s="252"/>
      <c r="D683" s="252"/>
    </row>
    <row r="684" spans="1:4" x14ac:dyDescent="0.35">
      <c r="A684" s="264">
        <v>29336921</v>
      </c>
      <c r="B684" s="252" t="s">
        <v>3449</v>
      </c>
      <c r="C684" s="252"/>
      <c r="D684" s="252"/>
    </row>
    <row r="685" spans="1:4" x14ac:dyDescent="0.35">
      <c r="A685" s="264">
        <v>32089039</v>
      </c>
      <c r="B685" s="252" t="s">
        <v>3449</v>
      </c>
      <c r="C685" s="252"/>
      <c r="D685" s="252"/>
    </row>
    <row r="686" spans="1:4" x14ac:dyDescent="0.35">
      <c r="A686" s="264">
        <v>33041000</v>
      </c>
      <c r="B686" s="252" t="s">
        <v>3449</v>
      </c>
      <c r="C686" s="252"/>
      <c r="D686" s="252"/>
    </row>
    <row r="687" spans="1:4" x14ac:dyDescent="0.35">
      <c r="A687" s="264">
        <v>33049910</v>
      </c>
      <c r="B687" s="252" t="s">
        <v>3449</v>
      </c>
      <c r="C687" s="252"/>
      <c r="D687" s="252"/>
    </row>
    <row r="688" spans="1:4" x14ac:dyDescent="0.35">
      <c r="A688" s="264">
        <v>33059000</v>
      </c>
      <c r="B688" s="252" t="s">
        <v>3449</v>
      </c>
      <c r="C688" s="252"/>
      <c r="D688" s="252"/>
    </row>
    <row r="689" spans="1:4" x14ac:dyDescent="0.35">
      <c r="A689" s="264">
        <v>34023100</v>
      </c>
      <c r="B689" s="252" t="s">
        <v>3449</v>
      </c>
      <c r="C689" s="252"/>
      <c r="D689" s="252"/>
    </row>
    <row r="690" spans="1:4" x14ac:dyDescent="0.35">
      <c r="A690" s="264">
        <v>34023990</v>
      </c>
      <c r="B690" s="252" t="s">
        <v>3449</v>
      </c>
      <c r="C690" s="252"/>
      <c r="D690" s="252"/>
    </row>
    <row r="691" spans="1:4" x14ac:dyDescent="0.35">
      <c r="A691" s="264">
        <v>34024200</v>
      </c>
      <c r="B691" s="252" t="s">
        <v>3449</v>
      </c>
      <c r="C691" s="252"/>
      <c r="D691" s="252"/>
    </row>
    <row r="692" spans="1:4" x14ac:dyDescent="0.35">
      <c r="A692" s="264">
        <v>34024900</v>
      </c>
      <c r="B692" s="252" t="s">
        <v>3449</v>
      </c>
      <c r="C692" s="252"/>
      <c r="D692" s="252"/>
    </row>
    <row r="693" spans="1:4" x14ac:dyDescent="0.35">
      <c r="A693" s="264">
        <v>34029011</v>
      </c>
      <c r="B693" s="252" t="s">
        <v>3449</v>
      </c>
      <c r="C693" s="252"/>
      <c r="D693" s="252"/>
    </row>
    <row r="694" spans="1:4" x14ac:dyDescent="0.35">
      <c r="A694" s="264">
        <v>34029019</v>
      </c>
      <c r="B694" s="252" t="s">
        <v>3449</v>
      </c>
      <c r="C694" s="252"/>
      <c r="D694" s="252"/>
    </row>
    <row r="695" spans="1:4" x14ac:dyDescent="0.35">
      <c r="A695" s="264">
        <v>34029029</v>
      </c>
      <c r="B695" s="252" t="s">
        <v>3449</v>
      </c>
      <c r="C695" s="252"/>
      <c r="D695" s="252"/>
    </row>
    <row r="696" spans="1:4" x14ac:dyDescent="0.35">
      <c r="A696" s="264">
        <v>34029039</v>
      </c>
      <c r="B696" s="252" t="s">
        <v>3449</v>
      </c>
      <c r="C696" s="252"/>
      <c r="D696" s="252"/>
    </row>
    <row r="697" spans="1:4" x14ac:dyDescent="0.35">
      <c r="A697" s="264">
        <v>34029090</v>
      </c>
      <c r="B697" s="252" t="s">
        <v>3449</v>
      </c>
      <c r="C697" s="252"/>
      <c r="D697" s="252"/>
    </row>
    <row r="698" spans="1:4" x14ac:dyDescent="0.35">
      <c r="A698" s="264">
        <v>34042010</v>
      </c>
      <c r="B698" s="252" t="s">
        <v>3449</v>
      </c>
      <c r="C698" s="252"/>
      <c r="D698" s="252"/>
    </row>
    <row r="699" spans="1:4" x14ac:dyDescent="0.35">
      <c r="A699" s="264">
        <v>34049019</v>
      </c>
      <c r="B699" s="252" t="s">
        <v>3449</v>
      </c>
      <c r="C699" s="252"/>
      <c r="D699" s="252"/>
    </row>
    <row r="700" spans="1:4" x14ac:dyDescent="0.35">
      <c r="A700" s="264">
        <v>34049029</v>
      </c>
      <c r="B700" s="252" t="s">
        <v>3449</v>
      </c>
      <c r="C700" s="252"/>
      <c r="D700" s="252"/>
    </row>
    <row r="701" spans="1:4" x14ac:dyDescent="0.35">
      <c r="A701" s="264">
        <v>38119090</v>
      </c>
      <c r="B701" s="252" t="s">
        <v>3449</v>
      </c>
      <c r="C701" s="252"/>
      <c r="D701" s="252"/>
    </row>
    <row r="702" spans="1:4" x14ac:dyDescent="0.35">
      <c r="A702" s="264">
        <v>38140090</v>
      </c>
      <c r="B702" s="252" t="s">
        <v>3449</v>
      </c>
      <c r="C702" s="252"/>
      <c r="D702" s="252"/>
    </row>
    <row r="703" spans="1:4" x14ac:dyDescent="0.35">
      <c r="A703" s="264">
        <v>38170010</v>
      </c>
      <c r="B703" s="252" t="s">
        <v>3449</v>
      </c>
      <c r="C703" s="252"/>
      <c r="D703" s="252"/>
    </row>
    <row r="704" spans="1:4" x14ac:dyDescent="0.35">
      <c r="A704" s="264">
        <v>38190000</v>
      </c>
      <c r="B704" s="252" t="s">
        <v>3449</v>
      </c>
      <c r="C704" s="252"/>
      <c r="D704" s="252"/>
    </row>
    <row r="705" spans="1:4" x14ac:dyDescent="0.35">
      <c r="A705" s="264">
        <v>38231990</v>
      </c>
      <c r="B705" s="252" t="s">
        <v>3449</v>
      </c>
      <c r="C705" s="252"/>
      <c r="D705" s="252"/>
    </row>
    <row r="706" spans="1:4" x14ac:dyDescent="0.35">
      <c r="A706" s="264">
        <v>38237010</v>
      </c>
      <c r="B706" s="252" t="s">
        <v>3449</v>
      </c>
      <c r="C706" s="252"/>
      <c r="D706" s="252"/>
    </row>
    <row r="707" spans="1:4" x14ac:dyDescent="0.35">
      <c r="A707" s="264">
        <v>38237020</v>
      </c>
      <c r="B707" s="252" t="s">
        <v>3449</v>
      </c>
      <c r="C707" s="252"/>
      <c r="D707" s="252"/>
    </row>
    <row r="708" spans="1:4" x14ac:dyDescent="0.35">
      <c r="A708" s="264">
        <v>38249929</v>
      </c>
      <c r="B708" s="252" t="s">
        <v>3449</v>
      </c>
      <c r="C708" s="252"/>
      <c r="D708" s="252"/>
    </row>
    <row r="709" spans="1:4" x14ac:dyDescent="0.35">
      <c r="A709" s="264">
        <v>38249989</v>
      </c>
      <c r="B709" s="252" t="s">
        <v>3449</v>
      </c>
      <c r="C709" s="252"/>
      <c r="D709" s="252"/>
    </row>
    <row r="710" spans="1:4" x14ac:dyDescent="0.35">
      <c r="A710" s="264">
        <v>39069011</v>
      </c>
      <c r="B710" s="252" t="s">
        <v>3449</v>
      </c>
      <c r="C710" s="252"/>
      <c r="D710" s="252"/>
    </row>
    <row r="711" spans="1:4" x14ac:dyDescent="0.35">
      <c r="A711" s="264">
        <v>39069019</v>
      </c>
      <c r="B711" s="252" t="s">
        <v>3449</v>
      </c>
      <c r="C711" s="252"/>
      <c r="D711" s="252"/>
    </row>
    <row r="712" spans="1:4" x14ac:dyDescent="0.35">
      <c r="A712" s="264">
        <v>39069029</v>
      </c>
      <c r="B712" s="252" t="s">
        <v>3449</v>
      </c>
      <c r="C712" s="252"/>
      <c r="D712" s="252"/>
    </row>
    <row r="713" spans="1:4" x14ac:dyDescent="0.35">
      <c r="A713" s="264">
        <v>39069039</v>
      </c>
      <c r="B713" s="252" t="s">
        <v>3449</v>
      </c>
      <c r="C713" s="252"/>
      <c r="D713" s="252"/>
    </row>
    <row r="714" spans="1:4" x14ac:dyDescent="0.35">
      <c r="A714" s="264">
        <v>39069069</v>
      </c>
      <c r="B714" s="252" t="s">
        <v>3449</v>
      </c>
      <c r="C714" s="252"/>
      <c r="D714" s="252"/>
    </row>
    <row r="715" spans="1:4" x14ac:dyDescent="0.35">
      <c r="A715" s="264">
        <v>39072931</v>
      </c>
      <c r="B715" s="252" t="s">
        <v>3449</v>
      </c>
      <c r="C715" s="252"/>
      <c r="D715" s="252"/>
    </row>
    <row r="716" spans="1:4" x14ac:dyDescent="0.35">
      <c r="A716" s="264">
        <v>39072939</v>
      </c>
      <c r="B716" s="252" t="s">
        <v>3449</v>
      </c>
      <c r="C716" s="252"/>
      <c r="D716" s="252"/>
    </row>
    <row r="717" spans="1:4" x14ac:dyDescent="0.35">
      <c r="A717" s="264">
        <v>39094091</v>
      </c>
      <c r="B717" s="252" t="s">
        <v>3449</v>
      </c>
      <c r="C717" s="252"/>
      <c r="D717" s="252"/>
    </row>
    <row r="718" spans="1:4" x14ac:dyDescent="0.35">
      <c r="A718" s="264">
        <v>39094099</v>
      </c>
      <c r="B718" s="252" t="s">
        <v>3449</v>
      </c>
      <c r="C718" s="252"/>
      <c r="D718" s="252"/>
    </row>
    <row r="719" spans="1:4" x14ac:dyDescent="0.35">
      <c r="A719" s="264">
        <v>39119029</v>
      </c>
      <c r="B719" s="252" t="s">
        <v>3449</v>
      </c>
      <c r="C719" s="252"/>
      <c r="D719" s="252"/>
    </row>
    <row r="720" spans="1:4" x14ac:dyDescent="0.35">
      <c r="A720" s="264">
        <v>39123910</v>
      </c>
      <c r="B720" s="252" t="s">
        <v>3449</v>
      </c>
      <c r="C720" s="252"/>
      <c r="D720" s="252"/>
    </row>
    <row r="721" spans="1:4" x14ac:dyDescent="0.35">
      <c r="A721" s="264">
        <v>39159000</v>
      </c>
      <c r="B721" s="252" t="s">
        <v>3449</v>
      </c>
      <c r="C721" s="252"/>
      <c r="D721" s="252"/>
    </row>
    <row r="722" spans="1:4" x14ac:dyDescent="0.35">
      <c r="A722" s="264">
        <v>29094310</v>
      </c>
      <c r="B722" s="252" t="s">
        <v>3450</v>
      </c>
      <c r="C722" s="252"/>
      <c r="D722" s="252"/>
    </row>
    <row r="723" spans="1:4" x14ac:dyDescent="0.35">
      <c r="A723" s="264">
        <v>29094320</v>
      </c>
      <c r="B723" s="252" t="s">
        <v>3450</v>
      </c>
      <c r="C723" s="252"/>
      <c r="D723" s="252"/>
    </row>
    <row r="724" spans="1:4" x14ac:dyDescent="0.35">
      <c r="A724" s="264">
        <v>29141200</v>
      </c>
      <c r="B724" s="252" t="s">
        <v>3450</v>
      </c>
      <c r="C724" s="252"/>
      <c r="D724" s="252"/>
    </row>
    <row r="725" spans="1:4" x14ac:dyDescent="0.35">
      <c r="A725" s="264">
        <v>29153932</v>
      </c>
      <c r="B725" s="252" t="s">
        <v>3450</v>
      </c>
      <c r="C725" s="252"/>
      <c r="D725" s="252"/>
    </row>
    <row r="726" spans="1:4" x14ac:dyDescent="0.35">
      <c r="A726" s="264">
        <v>29153939</v>
      </c>
      <c r="B726" s="252" t="s">
        <v>3450</v>
      </c>
      <c r="C726" s="252"/>
      <c r="D726" s="252"/>
    </row>
    <row r="727" spans="1:4" x14ac:dyDescent="0.35">
      <c r="A727" s="264">
        <v>34029019</v>
      </c>
      <c r="B727" s="252" t="s">
        <v>3450</v>
      </c>
      <c r="C727" s="252"/>
      <c r="D727" s="252"/>
    </row>
    <row r="728" spans="1:4" x14ac:dyDescent="0.35">
      <c r="A728" s="264">
        <v>38140090</v>
      </c>
      <c r="B728" s="252" t="s">
        <v>3450</v>
      </c>
      <c r="C728" s="252"/>
      <c r="D728" s="252"/>
    </row>
    <row r="729" spans="1:4" x14ac:dyDescent="0.35">
      <c r="A729" s="264">
        <v>38249989</v>
      </c>
      <c r="B729" s="252" t="s">
        <v>3450</v>
      </c>
      <c r="C729" s="252"/>
      <c r="D729" s="252"/>
    </row>
    <row r="730" spans="1:4" x14ac:dyDescent="0.35">
      <c r="A730" s="264">
        <v>15200010</v>
      </c>
      <c r="B730" s="252" t="s">
        <v>3451</v>
      </c>
      <c r="C730" s="252"/>
      <c r="D730" s="252"/>
    </row>
    <row r="731" spans="1:4" x14ac:dyDescent="0.35">
      <c r="A731" s="264">
        <v>15180010</v>
      </c>
      <c r="B731" s="252" t="s">
        <v>3452</v>
      </c>
      <c r="C731" s="252"/>
      <c r="D731" s="252"/>
    </row>
    <row r="732" spans="1:4" x14ac:dyDescent="0.35">
      <c r="A732" s="264">
        <v>22019000</v>
      </c>
      <c r="B732" s="252" t="s">
        <v>3452</v>
      </c>
      <c r="C732" s="252"/>
      <c r="D732" s="252"/>
    </row>
    <row r="733" spans="1:4" x14ac:dyDescent="0.35">
      <c r="A733" s="264">
        <v>22071010</v>
      </c>
      <c r="B733" s="252" t="s">
        <v>3452</v>
      </c>
      <c r="C733" s="252"/>
      <c r="D733" s="252"/>
    </row>
    <row r="734" spans="1:4" x14ac:dyDescent="0.35">
      <c r="A734" s="264">
        <v>22072019</v>
      </c>
      <c r="B734" s="252" t="s">
        <v>3452</v>
      </c>
      <c r="C734" s="252"/>
      <c r="D734" s="252"/>
    </row>
    <row r="735" spans="1:4" x14ac:dyDescent="0.35">
      <c r="A735" s="264">
        <v>27101991</v>
      </c>
      <c r="B735" s="252" t="s">
        <v>3452</v>
      </c>
      <c r="C735" s="252"/>
      <c r="D735" s="252"/>
    </row>
    <row r="736" spans="1:4" x14ac:dyDescent="0.35">
      <c r="A736" s="264">
        <v>27112100</v>
      </c>
      <c r="B736" s="252" t="s">
        <v>3452</v>
      </c>
      <c r="C736" s="252"/>
      <c r="D736" s="252"/>
    </row>
    <row r="737" spans="1:4" x14ac:dyDescent="0.35">
      <c r="A737" s="264">
        <v>27160000</v>
      </c>
      <c r="B737" s="252" t="s">
        <v>3452</v>
      </c>
      <c r="C737" s="252"/>
      <c r="D737" s="252"/>
    </row>
    <row r="738" spans="1:4" x14ac:dyDescent="0.35">
      <c r="A738" s="264">
        <v>28043000</v>
      </c>
      <c r="B738" s="252" t="s">
        <v>3452</v>
      </c>
      <c r="C738" s="252"/>
      <c r="D738" s="252"/>
    </row>
    <row r="739" spans="1:4" x14ac:dyDescent="0.35">
      <c r="A739" s="264">
        <v>28070010</v>
      </c>
      <c r="B739" s="252" t="s">
        <v>3452</v>
      </c>
      <c r="C739" s="252"/>
      <c r="D739" s="252"/>
    </row>
    <row r="740" spans="1:4" x14ac:dyDescent="0.35">
      <c r="A740" s="264">
        <v>28092011</v>
      </c>
      <c r="B740" s="252" t="s">
        <v>3452</v>
      </c>
      <c r="C740" s="252"/>
      <c r="D740" s="252"/>
    </row>
    <row r="741" spans="1:4" x14ac:dyDescent="0.35">
      <c r="A741" s="264">
        <v>28092090</v>
      </c>
      <c r="B741" s="252" t="s">
        <v>3452</v>
      </c>
      <c r="C741" s="252"/>
      <c r="D741" s="252"/>
    </row>
    <row r="742" spans="1:4" x14ac:dyDescent="0.35">
      <c r="A742" s="264">
        <v>28100010</v>
      </c>
      <c r="B742" s="252" t="s">
        <v>3452</v>
      </c>
      <c r="C742" s="252"/>
      <c r="D742" s="252"/>
    </row>
    <row r="743" spans="1:4" x14ac:dyDescent="0.35">
      <c r="A743" s="264">
        <v>28111990</v>
      </c>
      <c r="B743" s="252" t="s">
        <v>3452</v>
      </c>
      <c r="C743" s="252"/>
      <c r="D743" s="252"/>
    </row>
    <row r="744" spans="1:4" x14ac:dyDescent="0.35">
      <c r="A744" s="264">
        <v>28151200</v>
      </c>
      <c r="B744" s="252" t="s">
        <v>3452</v>
      </c>
      <c r="C744" s="252"/>
      <c r="D744" s="252"/>
    </row>
    <row r="745" spans="1:4" x14ac:dyDescent="0.35">
      <c r="A745" s="264">
        <v>28152000</v>
      </c>
      <c r="B745" s="252" t="s">
        <v>3452</v>
      </c>
      <c r="C745" s="252"/>
      <c r="D745" s="252"/>
    </row>
    <row r="746" spans="1:4" x14ac:dyDescent="0.35">
      <c r="A746" s="264">
        <v>28289011</v>
      </c>
      <c r="B746" s="252" t="s">
        <v>3452</v>
      </c>
      <c r="C746" s="252"/>
      <c r="D746" s="252"/>
    </row>
    <row r="747" spans="1:4" x14ac:dyDescent="0.35">
      <c r="A747" s="264">
        <v>28331110</v>
      </c>
      <c r="B747" s="252" t="s">
        <v>3452</v>
      </c>
      <c r="C747" s="252"/>
      <c r="D747" s="252"/>
    </row>
    <row r="748" spans="1:4" x14ac:dyDescent="0.35">
      <c r="A748" s="264">
        <v>29041011</v>
      </c>
      <c r="B748" s="252" t="s">
        <v>3452</v>
      </c>
      <c r="C748" s="252"/>
      <c r="D748" s="252"/>
    </row>
    <row r="749" spans="1:4" x14ac:dyDescent="0.35">
      <c r="A749" s="264">
        <v>29051410</v>
      </c>
      <c r="B749" s="252" t="s">
        <v>3452</v>
      </c>
      <c r="C749" s="252"/>
      <c r="D749" s="252"/>
    </row>
    <row r="750" spans="1:4" x14ac:dyDescent="0.35">
      <c r="A750" s="264">
        <v>29051600</v>
      </c>
      <c r="B750" s="252" t="s">
        <v>3452</v>
      </c>
      <c r="C750" s="252"/>
      <c r="D750" s="252"/>
    </row>
    <row r="751" spans="1:4" x14ac:dyDescent="0.35">
      <c r="A751" s="264">
        <v>29051996</v>
      </c>
      <c r="B751" s="252" t="s">
        <v>3452</v>
      </c>
      <c r="C751" s="252"/>
      <c r="D751" s="252"/>
    </row>
    <row r="752" spans="1:4" x14ac:dyDescent="0.35">
      <c r="A752" s="264">
        <v>29053100</v>
      </c>
      <c r="B752" s="252" t="s">
        <v>3452</v>
      </c>
      <c r="C752" s="252"/>
      <c r="D752" s="252"/>
    </row>
    <row r="753" spans="1:4" x14ac:dyDescent="0.35">
      <c r="A753" s="264">
        <v>29053200</v>
      </c>
      <c r="B753" s="252" t="s">
        <v>3452</v>
      </c>
      <c r="C753" s="252"/>
      <c r="D753" s="252"/>
    </row>
    <row r="754" spans="1:4" x14ac:dyDescent="0.35">
      <c r="A754" s="264">
        <v>29054400</v>
      </c>
      <c r="B754" s="252" t="s">
        <v>3452</v>
      </c>
      <c r="C754" s="252"/>
      <c r="D754" s="252"/>
    </row>
    <row r="755" spans="1:4" x14ac:dyDescent="0.35">
      <c r="A755" s="264">
        <v>29054500</v>
      </c>
      <c r="B755" s="252" t="s">
        <v>3452</v>
      </c>
      <c r="C755" s="252"/>
      <c r="D755" s="252"/>
    </row>
    <row r="756" spans="1:4" x14ac:dyDescent="0.35">
      <c r="A756" s="264">
        <v>29071300</v>
      </c>
      <c r="B756" s="252" t="s">
        <v>3452</v>
      </c>
      <c r="C756" s="252"/>
      <c r="D756" s="252"/>
    </row>
    <row r="757" spans="1:4" x14ac:dyDescent="0.35">
      <c r="A757" s="264">
        <v>29071910</v>
      </c>
      <c r="B757" s="252" t="s">
        <v>3452</v>
      </c>
      <c r="C757" s="252"/>
      <c r="D757" s="252"/>
    </row>
    <row r="758" spans="1:4" x14ac:dyDescent="0.35">
      <c r="A758" s="264">
        <v>29094100</v>
      </c>
      <c r="B758" s="252" t="s">
        <v>3452</v>
      </c>
      <c r="C758" s="252"/>
      <c r="D758" s="252"/>
    </row>
    <row r="759" spans="1:4" x14ac:dyDescent="0.35">
      <c r="A759" s="264">
        <v>29094310</v>
      </c>
      <c r="B759" s="252" t="s">
        <v>3452</v>
      </c>
      <c r="C759" s="252"/>
      <c r="D759" s="252"/>
    </row>
    <row r="760" spans="1:4" x14ac:dyDescent="0.35">
      <c r="A760" s="264">
        <v>29094320</v>
      </c>
      <c r="B760" s="252" t="s">
        <v>3452</v>
      </c>
      <c r="C760" s="252"/>
      <c r="D760" s="252"/>
    </row>
    <row r="761" spans="1:4" x14ac:dyDescent="0.35">
      <c r="A761" s="264">
        <v>29094411</v>
      </c>
      <c r="B761" s="252" t="s">
        <v>3452</v>
      </c>
      <c r="C761" s="252"/>
      <c r="D761" s="252"/>
    </row>
    <row r="762" spans="1:4" x14ac:dyDescent="0.35">
      <c r="A762" s="264">
        <v>29094419</v>
      </c>
      <c r="B762" s="252" t="s">
        <v>3452</v>
      </c>
      <c r="C762" s="252"/>
      <c r="D762" s="252"/>
    </row>
    <row r="763" spans="1:4" x14ac:dyDescent="0.35">
      <c r="A763" s="264">
        <v>29094421</v>
      </c>
      <c r="B763" s="252" t="s">
        <v>3452</v>
      </c>
      <c r="C763" s="252"/>
      <c r="D763" s="252"/>
    </row>
    <row r="764" spans="1:4" x14ac:dyDescent="0.35">
      <c r="A764" s="264">
        <v>29094429</v>
      </c>
      <c r="B764" s="252" t="s">
        <v>3452</v>
      </c>
      <c r="C764" s="252"/>
      <c r="D764" s="252"/>
    </row>
    <row r="765" spans="1:4" x14ac:dyDescent="0.35">
      <c r="A765" s="264">
        <v>29094921</v>
      </c>
      <c r="B765" s="252" t="s">
        <v>3452</v>
      </c>
      <c r="C765" s="252"/>
      <c r="D765" s="252"/>
    </row>
    <row r="766" spans="1:4" x14ac:dyDescent="0.35">
      <c r="A766" s="264">
        <v>29094929</v>
      </c>
      <c r="B766" s="252" t="s">
        <v>3452</v>
      </c>
      <c r="C766" s="252"/>
      <c r="D766" s="252"/>
    </row>
    <row r="767" spans="1:4" x14ac:dyDescent="0.35">
      <c r="A767" s="264">
        <v>29094990</v>
      </c>
      <c r="B767" s="252" t="s">
        <v>3452</v>
      </c>
      <c r="C767" s="252"/>
      <c r="D767" s="252"/>
    </row>
    <row r="768" spans="1:4" x14ac:dyDescent="0.35">
      <c r="A768" s="264">
        <v>29101000</v>
      </c>
      <c r="B768" s="252" t="s">
        <v>3452</v>
      </c>
      <c r="C768" s="252"/>
      <c r="D768" s="252"/>
    </row>
    <row r="769" spans="1:4" x14ac:dyDescent="0.35">
      <c r="A769" s="264">
        <v>29141200</v>
      </c>
      <c r="B769" s="252" t="s">
        <v>3452</v>
      </c>
      <c r="C769" s="252"/>
      <c r="D769" s="252"/>
    </row>
    <row r="770" spans="1:4" x14ac:dyDescent="0.35">
      <c r="A770" s="264">
        <v>29152100</v>
      </c>
      <c r="B770" s="252" t="s">
        <v>3452</v>
      </c>
      <c r="C770" s="252"/>
      <c r="D770" s="252"/>
    </row>
    <row r="771" spans="1:4" x14ac:dyDescent="0.35">
      <c r="A771" s="264">
        <v>29153932</v>
      </c>
      <c r="B771" s="252" t="s">
        <v>3452</v>
      </c>
      <c r="C771" s="252"/>
      <c r="D771" s="252"/>
    </row>
    <row r="772" spans="1:4" x14ac:dyDescent="0.35">
      <c r="A772" s="264">
        <v>29153939</v>
      </c>
      <c r="B772" s="252" t="s">
        <v>3452</v>
      </c>
      <c r="C772" s="252"/>
      <c r="D772" s="252"/>
    </row>
    <row r="773" spans="1:4" x14ac:dyDescent="0.35">
      <c r="A773" s="264">
        <v>29171990</v>
      </c>
      <c r="B773" s="252" t="s">
        <v>3452</v>
      </c>
      <c r="C773" s="252"/>
      <c r="D773" s="252"/>
    </row>
    <row r="774" spans="1:4" x14ac:dyDescent="0.35">
      <c r="A774" s="264">
        <v>29181400</v>
      </c>
      <c r="B774" s="252" t="s">
        <v>3452</v>
      </c>
      <c r="C774" s="252"/>
      <c r="D774" s="252"/>
    </row>
    <row r="775" spans="1:4" x14ac:dyDescent="0.35">
      <c r="A775" s="264">
        <v>29211999</v>
      </c>
      <c r="B775" s="252" t="s">
        <v>3452</v>
      </c>
      <c r="C775" s="252"/>
      <c r="D775" s="252"/>
    </row>
    <row r="776" spans="1:4" x14ac:dyDescent="0.35">
      <c r="A776" s="264">
        <v>29221100</v>
      </c>
      <c r="B776" s="252" t="s">
        <v>3452</v>
      </c>
      <c r="C776" s="252"/>
      <c r="D776" s="252"/>
    </row>
    <row r="777" spans="1:4" x14ac:dyDescent="0.35">
      <c r="A777" s="264">
        <v>29221500</v>
      </c>
      <c r="B777" s="252" t="s">
        <v>3452</v>
      </c>
      <c r="C777" s="252"/>
      <c r="D777" s="252"/>
    </row>
    <row r="778" spans="1:4" x14ac:dyDescent="0.35">
      <c r="A778" s="264">
        <v>29332999</v>
      </c>
      <c r="B778" s="252" t="s">
        <v>3452</v>
      </c>
      <c r="C778" s="252"/>
      <c r="D778" s="252"/>
    </row>
    <row r="779" spans="1:4" x14ac:dyDescent="0.35">
      <c r="A779" s="264">
        <v>29336921</v>
      </c>
      <c r="B779" s="252" t="s">
        <v>3452</v>
      </c>
      <c r="C779" s="252"/>
      <c r="D779" s="252"/>
    </row>
    <row r="780" spans="1:4" x14ac:dyDescent="0.35">
      <c r="A780" s="264">
        <v>32041210</v>
      </c>
      <c r="B780" s="252" t="s">
        <v>3452</v>
      </c>
      <c r="C780" s="252"/>
      <c r="D780" s="252"/>
    </row>
    <row r="781" spans="1:4" x14ac:dyDescent="0.35">
      <c r="A781" s="264">
        <v>32041600</v>
      </c>
      <c r="B781" s="252" t="s">
        <v>3452</v>
      </c>
      <c r="C781" s="252"/>
      <c r="D781" s="252"/>
    </row>
    <row r="782" spans="1:4" x14ac:dyDescent="0.35">
      <c r="A782" s="264">
        <v>34023100</v>
      </c>
      <c r="B782" s="252" t="s">
        <v>3452</v>
      </c>
      <c r="C782" s="252"/>
      <c r="D782" s="252"/>
    </row>
    <row r="783" spans="1:4" x14ac:dyDescent="0.35">
      <c r="A783" s="264">
        <v>34023990</v>
      </c>
      <c r="B783" s="252" t="s">
        <v>3452</v>
      </c>
      <c r="C783" s="252"/>
      <c r="D783" s="252"/>
    </row>
    <row r="784" spans="1:4" x14ac:dyDescent="0.35">
      <c r="A784" s="264">
        <v>34024200</v>
      </c>
      <c r="B784" s="252" t="s">
        <v>3452</v>
      </c>
      <c r="C784" s="252"/>
      <c r="D784" s="252"/>
    </row>
    <row r="785" spans="1:4" x14ac:dyDescent="0.35">
      <c r="A785" s="264">
        <v>34024900</v>
      </c>
      <c r="B785" s="252" t="s">
        <v>3452</v>
      </c>
      <c r="C785" s="252"/>
      <c r="D785" s="252"/>
    </row>
    <row r="786" spans="1:4" x14ac:dyDescent="0.35">
      <c r="A786" s="264">
        <v>34029011</v>
      </c>
      <c r="B786" s="252" t="s">
        <v>3452</v>
      </c>
      <c r="C786" s="252"/>
      <c r="D786" s="252"/>
    </row>
    <row r="787" spans="1:4" x14ac:dyDescent="0.35">
      <c r="A787" s="264">
        <v>34029019</v>
      </c>
      <c r="B787" s="252" t="s">
        <v>3452</v>
      </c>
      <c r="C787" s="252"/>
      <c r="D787" s="252"/>
    </row>
    <row r="788" spans="1:4" x14ac:dyDescent="0.35">
      <c r="A788" s="264">
        <v>34029029</v>
      </c>
      <c r="B788" s="252" t="s">
        <v>3452</v>
      </c>
      <c r="C788" s="252"/>
      <c r="D788" s="252"/>
    </row>
    <row r="789" spans="1:4" x14ac:dyDescent="0.35">
      <c r="A789" s="264">
        <v>34039900</v>
      </c>
      <c r="B789" s="252" t="s">
        <v>3452</v>
      </c>
      <c r="C789" s="252"/>
      <c r="D789" s="252"/>
    </row>
    <row r="790" spans="1:4" x14ac:dyDescent="0.35">
      <c r="A790" s="264">
        <v>34042010</v>
      </c>
      <c r="B790" s="252" t="s">
        <v>3452</v>
      </c>
      <c r="C790" s="252"/>
      <c r="D790" s="252"/>
    </row>
    <row r="791" spans="1:4" x14ac:dyDescent="0.35">
      <c r="A791" s="264">
        <v>34049019</v>
      </c>
      <c r="B791" s="252" t="s">
        <v>3452</v>
      </c>
      <c r="C791" s="252"/>
      <c r="D791" s="252"/>
    </row>
    <row r="792" spans="1:4" x14ac:dyDescent="0.35">
      <c r="A792" s="264">
        <v>38029010</v>
      </c>
      <c r="B792" s="252" t="s">
        <v>3452</v>
      </c>
      <c r="C792" s="252"/>
      <c r="D792" s="252"/>
    </row>
    <row r="793" spans="1:4" x14ac:dyDescent="0.35">
      <c r="A793" s="264">
        <v>38112990</v>
      </c>
      <c r="B793" s="252" t="s">
        <v>3452</v>
      </c>
      <c r="C793" s="252"/>
      <c r="D793" s="252"/>
    </row>
    <row r="794" spans="1:4" x14ac:dyDescent="0.35">
      <c r="A794" s="264">
        <v>38119090</v>
      </c>
      <c r="B794" s="252" t="s">
        <v>3452</v>
      </c>
      <c r="C794" s="252"/>
      <c r="D794" s="252"/>
    </row>
    <row r="795" spans="1:4" x14ac:dyDescent="0.35">
      <c r="A795" s="264">
        <v>38140090</v>
      </c>
      <c r="B795" s="252" t="s">
        <v>3452</v>
      </c>
      <c r="C795" s="252"/>
      <c r="D795" s="252"/>
    </row>
    <row r="796" spans="1:4" x14ac:dyDescent="0.35">
      <c r="A796" s="264">
        <v>38190000</v>
      </c>
      <c r="B796" s="252" t="s">
        <v>3452</v>
      </c>
      <c r="C796" s="252"/>
      <c r="D796" s="252"/>
    </row>
    <row r="797" spans="1:4" x14ac:dyDescent="0.35">
      <c r="A797" s="264">
        <v>38231100</v>
      </c>
      <c r="B797" s="252" t="s">
        <v>3452</v>
      </c>
      <c r="C797" s="252"/>
      <c r="D797" s="252"/>
    </row>
    <row r="798" spans="1:4" x14ac:dyDescent="0.35">
      <c r="A798" s="264">
        <v>38231990</v>
      </c>
      <c r="B798" s="252" t="s">
        <v>3452</v>
      </c>
      <c r="C798" s="252"/>
      <c r="D798" s="252"/>
    </row>
    <row r="799" spans="1:4" x14ac:dyDescent="0.35">
      <c r="A799" s="264">
        <v>38237010</v>
      </c>
      <c r="B799" s="252" t="s">
        <v>3452</v>
      </c>
      <c r="C799" s="252"/>
      <c r="D799" s="252"/>
    </row>
    <row r="800" spans="1:4" x14ac:dyDescent="0.35">
      <c r="A800" s="264">
        <v>38237020</v>
      </c>
      <c r="B800" s="252" t="s">
        <v>3452</v>
      </c>
      <c r="C800" s="252"/>
      <c r="D800" s="252"/>
    </row>
    <row r="801" spans="1:4" x14ac:dyDescent="0.35">
      <c r="A801" s="264">
        <v>38249929</v>
      </c>
      <c r="B801" s="252" t="s">
        <v>3452</v>
      </c>
      <c r="C801" s="252"/>
      <c r="D801" s="252"/>
    </row>
    <row r="802" spans="1:4" x14ac:dyDescent="0.35">
      <c r="A802" s="264">
        <v>38249941</v>
      </c>
      <c r="B802" s="252" t="s">
        <v>3452</v>
      </c>
      <c r="C802" s="252"/>
      <c r="D802" s="252"/>
    </row>
    <row r="803" spans="1:4" x14ac:dyDescent="0.35">
      <c r="A803" s="264">
        <v>38249989</v>
      </c>
      <c r="B803" s="252" t="s">
        <v>3452</v>
      </c>
      <c r="C803" s="252"/>
      <c r="D803" s="252"/>
    </row>
    <row r="804" spans="1:4" x14ac:dyDescent="0.35">
      <c r="A804" s="264">
        <v>39069011</v>
      </c>
      <c r="B804" s="252" t="s">
        <v>3452</v>
      </c>
      <c r="C804" s="252"/>
      <c r="D804" s="252"/>
    </row>
    <row r="805" spans="1:4" x14ac:dyDescent="0.35">
      <c r="A805" s="264">
        <v>39069039</v>
      </c>
      <c r="B805" s="252" t="s">
        <v>3452</v>
      </c>
      <c r="C805" s="252"/>
      <c r="D805" s="252"/>
    </row>
    <row r="806" spans="1:4" x14ac:dyDescent="0.35">
      <c r="A806" s="264">
        <v>39072931</v>
      </c>
      <c r="B806" s="252" t="s">
        <v>3452</v>
      </c>
      <c r="C806" s="252"/>
      <c r="D806" s="252"/>
    </row>
    <row r="807" spans="1:4" x14ac:dyDescent="0.35">
      <c r="A807" s="264">
        <v>39072939</v>
      </c>
      <c r="B807" s="252" t="s">
        <v>3452</v>
      </c>
      <c r="C807" s="252"/>
      <c r="D807" s="252"/>
    </row>
    <row r="808" spans="1:4" x14ac:dyDescent="0.35">
      <c r="A808" s="264">
        <v>39119029</v>
      </c>
      <c r="B808" s="252" t="s">
        <v>3452</v>
      </c>
      <c r="C808" s="252"/>
      <c r="D808" s="252"/>
    </row>
    <row r="809" spans="1:4" x14ac:dyDescent="0.35">
      <c r="A809" s="264">
        <v>39159000</v>
      </c>
      <c r="B809" s="252" t="s">
        <v>3452</v>
      </c>
      <c r="C809" s="252"/>
      <c r="D809" s="252"/>
    </row>
    <row r="810" spans="1:4" x14ac:dyDescent="0.35">
      <c r="A810" s="264">
        <v>39232190</v>
      </c>
      <c r="B810" s="252" t="s">
        <v>3452</v>
      </c>
      <c r="C810" s="252"/>
      <c r="D810" s="252"/>
    </row>
    <row r="811" spans="1:4" x14ac:dyDescent="0.35">
      <c r="A811" s="264">
        <v>39233090</v>
      </c>
      <c r="B811" s="252" t="s">
        <v>3452</v>
      </c>
      <c r="C811" s="252"/>
      <c r="D811" s="252"/>
    </row>
    <row r="812" spans="1:4" x14ac:dyDescent="0.35">
      <c r="A812" s="264">
        <v>39235000</v>
      </c>
      <c r="B812" s="252" t="s">
        <v>3452</v>
      </c>
      <c r="C812" s="252"/>
      <c r="D812" s="252"/>
    </row>
    <row r="813" spans="1:4" x14ac:dyDescent="0.35">
      <c r="A813" s="264">
        <v>39239090</v>
      </c>
      <c r="B813" s="252" t="s">
        <v>3452</v>
      </c>
      <c r="C813" s="252"/>
      <c r="D813" s="252"/>
    </row>
    <row r="814" spans="1:4" x14ac:dyDescent="0.35">
      <c r="A814" s="264">
        <v>40012990</v>
      </c>
      <c r="B814" s="252" t="s">
        <v>3452</v>
      </c>
      <c r="C814" s="252"/>
      <c r="D814" s="252"/>
    </row>
    <row r="815" spans="1:4" x14ac:dyDescent="0.35">
      <c r="A815" s="264">
        <v>40021110</v>
      </c>
      <c r="B815" s="252" t="s">
        <v>3452</v>
      </c>
      <c r="C815" s="252"/>
      <c r="D815" s="252"/>
    </row>
    <row r="816" spans="1:4" x14ac:dyDescent="0.35">
      <c r="A816" s="264">
        <v>48219000</v>
      </c>
      <c r="B816" s="252" t="s">
        <v>3452</v>
      </c>
      <c r="C816" s="252"/>
      <c r="D816" s="252"/>
    </row>
    <row r="817" spans="1:4" x14ac:dyDescent="0.35">
      <c r="A817" s="264">
        <v>48239099</v>
      </c>
      <c r="B817" s="252" t="s">
        <v>3452</v>
      </c>
      <c r="C817" s="252"/>
      <c r="D817" s="252"/>
    </row>
    <row r="818" spans="1:4" x14ac:dyDescent="0.35">
      <c r="A818" s="264">
        <v>59119000</v>
      </c>
      <c r="B818" s="252" t="s">
        <v>3452</v>
      </c>
      <c r="C818" s="252"/>
      <c r="D818" s="252"/>
    </row>
    <row r="819" spans="1:4" x14ac:dyDescent="0.35">
      <c r="A819" s="264">
        <v>73101090</v>
      </c>
      <c r="B819" s="252" t="s">
        <v>3452</v>
      </c>
      <c r="C819" s="252"/>
      <c r="D819" s="252"/>
    </row>
    <row r="820" spans="1:4" x14ac:dyDescent="0.35">
      <c r="A820" s="264">
        <v>83099000</v>
      </c>
      <c r="B820" s="252" t="s">
        <v>3452</v>
      </c>
      <c r="C820" s="252"/>
      <c r="D820" s="252"/>
    </row>
    <row r="821" spans="1:4" x14ac:dyDescent="0.35">
      <c r="A821" s="264">
        <v>84439923</v>
      </c>
      <c r="B821" s="252" t="s">
        <v>3452</v>
      </c>
      <c r="C821" s="252"/>
      <c r="D821" s="252"/>
    </row>
    <row r="822" spans="1:4" x14ac:dyDescent="0.35">
      <c r="A822" s="264">
        <v>86090000</v>
      </c>
      <c r="B822" s="252" t="s">
        <v>3452</v>
      </c>
      <c r="C822" s="252"/>
      <c r="D822" s="252"/>
    </row>
    <row r="823" spans="1:4" x14ac:dyDescent="0.35">
      <c r="A823" s="264">
        <v>27101991</v>
      </c>
      <c r="B823" s="252" t="s">
        <v>3453</v>
      </c>
      <c r="C823" s="252"/>
      <c r="D823" s="252"/>
    </row>
    <row r="824" spans="1:4" x14ac:dyDescent="0.35">
      <c r="A824" s="264">
        <v>27121000</v>
      </c>
      <c r="B824" s="252" t="s">
        <v>3453</v>
      </c>
      <c r="C824" s="252"/>
      <c r="D824" s="252"/>
    </row>
    <row r="825" spans="1:4" x14ac:dyDescent="0.35">
      <c r="A825" s="264">
        <v>29051100</v>
      </c>
      <c r="B825" s="252" t="s">
        <v>3453</v>
      </c>
      <c r="C825" s="252"/>
      <c r="D825" s="252"/>
    </row>
    <row r="826" spans="1:4" x14ac:dyDescent="0.35">
      <c r="A826" s="264">
        <v>29051210</v>
      </c>
      <c r="B826" s="252" t="s">
        <v>3453</v>
      </c>
      <c r="C826" s="252"/>
      <c r="D826" s="252"/>
    </row>
    <row r="827" spans="1:4" x14ac:dyDescent="0.35">
      <c r="A827" s="264">
        <v>29051420</v>
      </c>
      <c r="B827" s="252" t="s">
        <v>3453</v>
      </c>
      <c r="C827" s="252"/>
      <c r="D827" s="252"/>
    </row>
    <row r="828" spans="1:4" x14ac:dyDescent="0.35">
      <c r="A828" s="264">
        <v>29053100</v>
      </c>
      <c r="B828" s="252" t="s">
        <v>3453</v>
      </c>
      <c r="C828" s="252"/>
      <c r="D828" s="252"/>
    </row>
    <row r="829" spans="1:4" x14ac:dyDescent="0.35">
      <c r="A829" s="264">
        <v>29054500</v>
      </c>
      <c r="B829" s="252" t="s">
        <v>3453</v>
      </c>
      <c r="C829" s="252"/>
      <c r="D829" s="252"/>
    </row>
    <row r="830" spans="1:4" x14ac:dyDescent="0.35">
      <c r="A830" s="264">
        <v>29071300</v>
      </c>
      <c r="B830" s="252" t="s">
        <v>3453</v>
      </c>
      <c r="C830" s="252"/>
      <c r="D830" s="252"/>
    </row>
    <row r="831" spans="1:4" x14ac:dyDescent="0.35">
      <c r="A831" s="264">
        <v>29094100</v>
      </c>
      <c r="B831" s="252" t="s">
        <v>3453</v>
      </c>
      <c r="C831" s="252"/>
      <c r="D831" s="252"/>
    </row>
    <row r="832" spans="1:4" x14ac:dyDescent="0.35">
      <c r="A832" s="264">
        <v>29094310</v>
      </c>
      <c r="B832" s="252" t="s">
        <v>3453</v>
      </c>
      <c r="C832" s="252"/>
      <c r="D832" s="252"/>
    </row>
    <row r="833" spans="1:4" x14ac:dyDescent="0.35">
      <c r="A833" s="264">
        <v>29094320</v>
      </c>
      <c r="B833" s="252" t="s">
        <v>3453</v>
      </c>
      <c r="C833" s="252"/>
      <c r="D833" s="252"/>
    </row>
    <row r="834" spans="1:4" x14ac:dyDescent="0.35">
      <c r="A834" s="264">
        <v>29094419</v>
      </c>
      <c r="B834" s="252" t="s">
        <v>3453</v>
      </c>
      <c r="C834" s="252"/>
      <c r="D834" s="252"/>
    </row>
    <row r="835" spans="1:4" x14ac:dyDescent="0.35">
      <c r="A835" s="264">
        <v>29094429</v>
      </c>
      <c r="B835" s="252" t="s">
        <v>3453</v>
      </c>
      <c r="C835" s="252"/>
      <c r="D835" s="252"/>
    </row>
    <row r="836" spans="1:4" x14ac:dyDescent="0.35">
      <c r="A836" s="264">
        <v>29094921</v>
      </c>
      <c r="B836" s="252" t="s">
        <v>3453</v>
      </c>
      <c r="C836" s="252"/>
      <c r="D836" s="252"/>
    </row>
    <row r="837" spans="1:4" x14ac:dyDescent="0.35">
      <c r="A837" s="264">
        <v>29141200</v>
      </c>
      <c r="B837" s="252" t="s">
        <v>3453</v>
      </c>
      <c r="C837" s="252"/>
      <c r="D837" s="252"/>
    </row>
    <row r="838" spans="1:4" x14ac:dyDescent="0.35">
      <c r="A838" s="264">
        <v>29221100</v>
      </c>
      <c r="B838" s="252" t="s">
        <v>3453</v>
      </c>
      <c r="C838" s="252"/>
      <c r="D838" s="252"/>
    </row>
    <row r="839" spans="1:4" x14ac:dyDescent="0.35">
      <c r="A839" s="264">
        <v>29221200</v>
      </c>
      <c r="B839" s="252" t="s">
        <v>3453</v>
      </c>
      <c r="C839" s="252"/>
      <c r="D839" s="252"/>
    </row>
    <row r="840" spans="1:4" x14ac:dyDescent="0.35">
      <c r="A840" s="264">
        <v>29221500</v>
      </c>
      <c r="B840" s="252" t="s">
        <v>3453</v>
      </c>
      <c r="C840" s="252"/>
      <c r="D840" s="252"/>
    </row>
    <row r="841" spans="1:4" x14ac:dyDescent="0.35">
      <c r="A841" s="264">
        <v>34023990</v>
      </c>
      <c r="B841" s="252" t="s">
        <v>3453</v>
      </c>
      <c r="C841" s="252"/>
      <c r="D841" s="252"/>
    </row>
    <row r="842" spans="1:4" x14ac:dyDescent="0.35">
      <c r="A842" s="264">
        <v>34024200</v>
      </c>
      <c r="B842" s="252" t="s">
        <v>3453</v>
      </c>
      <c r="C842" s="252"/>
      <c r="D842" s="252"/>
    </row>
    <row r="843" spans="1:4" x14ac:dyDescent="0.35">
      <c r="A843" s="264">
        <v>34029011</v>
      </c>
      <c r="B843" s="252" t="s">
        <v>3453</v>
      </c>
      <c r="C843" s="252"/>
      <c r="D843" s="252"/>
    </row>
    <row r="844" spans="1:4" x14ac:dyDescent="0.35">
      <c r="A844" s="264">
        <v>34029019</v>
      </c>
      <c r="B844" s="252" t="s">
        <v>3453</v>
      </c>
      <c r="C844" s="252"/>
      <c r="D844" s="252"/>
    </row>
    <row r="845" spans="1:4" x14ac:dyDescent="0.35">
      <c r="A845" s="264">
        <v>34029029</v>
      </c>
      <c r="B845" s="252" t="s">
        <v>3453</v>
      </c>
      <c r="C845" s="252"/>
      <c r="D845" s="252"/>
    </row>
    <row r="846" spans="1:4" x14ac:dyDescent="0.35">
      <c r="A846" s="264">
        <v>34042010</v>
      </c>
      <c r="B846" s="252" t="s">
        <v>3453</v>
      </c>
      <c r="C846" s="252"/>
      <c r="D846" s="252"/>
    </row>
    <row r="847" spans="1:4" x14ac:dyDescent="0.35">
      <c r="A847" s="264">
        <v>34049019</v>
      </c>
      <c r="B847" s="252" t="s">
        <v>3453</v>
      </c>
      <c r="C847" s="252"/>
      <c r="D847" s="252"/>
    </row>
    <row r="848" spans="1:4" x14ac:dyDescent="0.35">
      <c r="A848" s="264">
        <v>38140090</v>
      </c>
      <c r="B848" s="252" t="s">
        <v>3453</v>
      </c>
      <c r="C848" s="252"/>
      <c r="D848" s="252"/>
    </row>
    <row r="849" spans="1:4" x14ac:dyDescent="0.35">
      <c r="A849" s="264">
        <v>38151290</v>
      </c>
      <c r="B849" s="252" t="s">
        <v>3453</v>
      </c>
      <c r="C849" s="252"/>
      <c r="D849" s="252"/>
    </row>
    <row r="850" spans="1:4" x14ac:dyDescent="0.35">
      <c r="A850" s="264">
        <v>38151900</v>
      </c>
      <c r="B850" s="252" t="s">
        <v>3453</v>
      </c>
      <c r="C850" s="252"/>
      <c r="D850" s="252"/>
    </row>
    <row r="851" spans="1:4" x14ac:dyDescent="0.35">
      <c r="A851" s="264">
        <v>38249929</v>
      </c>
      <c r="B851" s="252" t="s">
        <v>3453</v>
      </c>
      <c r="C851" s="252"/>
      <c r="D851" s="252"/>
    </row>
    <row r="852" spans="1:4" x14ac:dyDescent="0.35">
      <c r="A852" s="264">
        <v>38249989</v>
      </c>
      <c r="B852" s="252" t="s">
        <v>3453</v>
      </c>
      <c r="C852" s="252"/>
      <c r="D852" s="252"/>
    </row>
    <row r="853" spans="1:4" x14ac:dyDescent="0.35">
      <c r="A853" s="264">
        <v>39072931</v>
      </c>
      <c r="B853" s="252" t="s">
        <v>3453</v>
      </c>
      <c r="C853" s="252"/>
      <c r="D853" s="252"/>
    </row>
    <row r="854" spans="1:4" x14ac:dyDescent="0.35">
      <c r="A854" s="264">
        <v>39072939</v>
      </c>
      <c r="B854" s="252" t="s">
        <v>3453</v>
      </c>
      <c r="C854" s="252"/>
      <c r="D854" s="252"/>
    </row>
    <row r="855" spans="1:4" x14ac:dyDescent="0.35">
      <c r="A855" s="264">
        <v>69032090</v>
      </c>
      <c r="B855" s="252" t="s">
        <v>3453</v>
      </c>
      <c r="C855" s="252"/>
      <c r="D855" s="252"/>
    </row>
    <row r="856" spans="1:4" x14ac:dyDescent="0.35">
      <c r="A856" s="264">
        <v>38249929</v>
      </c>
      <c r="B856" s="252" t="s">
        <v>3454</v>
      </c>
      <c r="C856" s="252"/>
      <c r="D856" s="252"/>
    </row>
    <row r="857" spans="1:4" x14ac:dyDescent="0.35">
      <c r="A857" s="264">
        <v>38249989</v>
      </c>
      <c r="B857" s="252" t="s">
        <v>3454</v>
      </c>
      <c r="C857" s="252"/>
      <c r="D857" s="252"/>
    </row>
    <row r="858" spans="1:4" x14ac:dyDescent="0.35">
      <c r="A858" s="264">
        <v>27101931</v>
      </c>
      <c r="B858" s="252" t="s">
        <v>3454</v>
      </c>
      <c r="C858" s="252"/>
      <c r="D858" s="252"/>
    </row>
    <row r="859" spans="1:4" x14ac:dyDescent="0.35">
      <c r="A859" s="264">
        <v>28539090</v>
      </c>
      <c r="B859" s="252" t="s">
        <v>3455</v>
      </c>
      <c r="C859" s="252"/>
      <c r="D859" s="252"/>
    </row>
    <row r="860" spans="1:4" x14ac:dyDescent="0.35">
      <c r="A860" s="264">
        <v>34023990</v>
      </c>
      <c r="B860" s="252" t="s">
        <v>3455</v>
      </c>
      <c r="C860" s="252"/>
      <c r="D860" s="252"/>
    </row>
    <row r="861" spans="1:4" x14ac:dyDescent="0.35">
      <c r="A861" s="264">
        <v>25030010</v>
      </c>
      <c r="B861" s="252" t="s">
        <v>3455</v>
      </c>
      <c r="C861" s="252"/>
      <c r="D861" s="252"/>
    </row>
    <row r="862" spans="1:4" x14ac:dyDescent="0.35">
      <c r="A862" s="264">
        <v>28151200</v>
      </c>
      <c r="B862" s="252" t="s">
        <v>3455</v>
      </c>
      <c r="C862" s="252"/>
      <c r="D862" s="252"/>
    </row>
    <row r="863" spans="1:4" x14ac:dyDescent="0.35">
      <c r="A863" s="264">
        <v>22019000</v>
      </c>
      <c r="B863" s="252" t="s">
        <v>3455</v>
      </c>
      <c r="C863" s="252"/>
      <c r="D863" s="252"/>
    </row>
    <row r="864" spans="1:4" x14ac:dyDescent="0.35">
      <c r="A864" s="264">
        <v>38159099</v>
      </c>
      <c r="B864" s="252" t="s">
        <v>3456</v>
      </c>
      <c r="C864" s="252"/>
      <c r="D864" s="252"/>
    </row>
    <row r="865" spans="1:4" x14ac:dyDescent="0.35">
      <c r="A865" s="264">
        <v>38237010</v>
      </c>
      <c r="B865" s="252" t="s">
        <v>3456</v>
      </c>
      <c r="C865" s="252"/>
      <c r="D865" s="252"/>
    </row>
    <row r="866" spans="1:4" x14ac:dyDescent="0.35">
      <c r="A866" s="264">
        <v>34024200</v>
      </c>
      <c r="B866" s="252" t="s">
        <v>3456</v>
      </c>
      <c r="C866" s="252"/>
      <c r="D866" s="252"/>
    </row>
    <row r="867" spans="1:4" x14ac:dyDescent="0.35">
      <c r="A867" s="264">
        <v>38249929</v>
      </c>
      <c r="B867" s="252" t="s">
        <v>3456</v>
      </c>
      <c r="C867" s="252"/>
      <c r="D867" s="252"/>
    </row>
    <row r="868" spans="1:4" x14ac:dyDescent="0.35">
      <c r="A868" s="264">
        <v>29221200</v>
      </c>
      <c r="B868" s="252" t="s">
        <v>3456</v>
      </c>
      <c r="C868" s="252"/>
      <c r="D868" s="252"/>
    </row>
    <row r="869" spans="1:4" x14ac:dyDescent="0.35">
      <c r="A869" s="264">
        <v>29094421</v>
      </c>
      <c r="B869" s="252" t="s">
        <v>3456</v>
      </c>
      <c r="C869" s="252"/>
      <c r="D869" s="252"/>
    </row>
    <row r="870" spans="1:4" x14ac:dyDescent="0.35">
      <c r="A870" s="264">
        <v>38140090</v>
      </c>
      <c r="B870" s="252" t="s">
        <v>3456</v>
      </c>
      <c r="C870" s="252"/>
      <c r="D870" s="252"/>
    </row>
    <row r="871" spans="1:4" x14ac:dyDescent="0.35">
      <c r="A871" s="264">
        <v>34029029</v>
      </c>
      <c r="B871" s="252" t="s">
        <v>3456</v>
      </c>
      <c r="C871" s="252"/>
      <c r="D871" s="252"/>
    </row>
    <row r="872" spans="1:4" x14ac:dyDescent="0.35">
      <c r="A872" s="264">
        <v>29336921</v>
      </c>
      <c r="B872" s="252" t="s">
        <v>3456</v>
      </c>
      <c r="C872" s="252"/>
      <c r="D872" s="252"/>
    </row>
    <row r="873" spans="1:4" x14ac:dyDescent="0.35">
      <c r="A873" s="264">
        <v>34042010</v>
      </c>
      <c r="B873" s="252" t="s">
        <v>3456</v>
      </c>
      <c r="C873" s="252"/>
      <c r="D873" s="252"/>
    </row>
    <row r="874" spans="1:4" x14ac:dyDescent="0.35">
      <c r="A874" s="264">
        <v>29094411</v>
      </c>
      <c r="B874" s="252" t="s">
        <v>3456</v>
      </c>
      <c r="C874" s="252"/>
      <c r="D874" s="252"/>
    </row>
    <row r="875" spans="1:4" x14ac:dyDescent="0.35">
      <c r="A875" s="264">
        <v>38231990</v>
      </c>
      <c r="B875" s="252" t="s">
        <v>3456</v>
      </c>
      <c r="C875" s="252"/>
      <c r="D875" s="252"/>
    </row>
    <row r="876" spans="1:4" x14ac:dyDescent="0.35">
      <c r="A876" s="264">
        <v>29153939</v>
      </c>
      <c r="B876" s="252" t="s">
        <v>3456</v>
      </c>
      <c r="C876" s="252"/>
      <c r="D876" s="252"/>
    </row>
    <row r="877" spans="1:4" x14ac:dyDescent="0.35">
      <c r="A877" s="264">
        <v>38249989</v>
      </c>
      <c r="B877" s="252" t="s">
        <v>3456</v>
      </c>
      <c r="C877" s="252"/>
      <c r="D877" s="252"/>
    </row>
    <row r="878" spans="1:4" x14ac:dyDescent="0.35">
      <c r="A878" s="264">
        <v>39072939</v>
      </c>
      <c r="B878" s="252" t="s">
        <v>3456</v>
      </c>
      <c r="C878" s="252"/>
      <c r="D878" s="252"/>
    </row>
    <row r="879" spans="1:4" x14ac:dyDescent="0.35">
      <c r="A879" s="264">
        <v>29094320</v>
      </c>
      <c r="B879" s="252" t="s">
        <v>3456</v>
      </c>
      <c r="C879" s="252"/>
      <c r="D879" s="252"/>
    </row>
    <row r="880" spans="1:4" x14ac:dyDescent="0.35">
      <c r="A880" s="264">
        <v>39072931</v>
      </c>
      <c r="B880" s="252" t="s">
        <v>3456</v>
      </c>
      <c r="C880" s="252"/>
      <c r="D880" s="252"/>
    </row>
    <row r="881" spans="1:4" x14ac:dyDescent="0.35">
      <c r="A881" s="264">
        <v>29221500</v>
      </c>
      <c r="B881" s="252" t="s">
        <v>3456</v>
      </c>
      <c r="C881" s="252"/>
      <c r="D881" s="252"/>
    </row>
    <row r="882" spans="1:4" x14ac:dyDescent="0.35">
      <c r="A882" s="264">
        <v>34024900</v>
      </c>
      <c r="B882" s="252" t="s">
        <v>3456</v>
      </c>
      <c r="C882" s="252"/>
      <c r="D882" s="252"/>
    </row>
    <row r="883" spans="1:4" x14ac:dyDescent="0.35">
      <c r="A883" s="264">
        <v>38249941</v>
      </c>
      <c r="B883" s="252" t="s">
        <v>3456</v>
      </c>
      <c r="C883" s="252"/>
      <c r="D883" s="252"/>
    </row>
    <row r="884" spans="1:4" x14ac:dyDescent="0.35">
      <c r="A884" s="264">
        <v>29094990</v>
      </c>
      <c r="B884" s="252" t="s">
        <v>3456</v>
      </c>
      <c r="C884" s="252"/>
      <c r="D884" s="252"/>
    </row>
    <row r="885" spans="1:4" x14ac:dyDescent="0.35">
      <c r="A885" s="264">
        <v>34023990</v>
      </c>
      <c r="B885" s="252" t="s">
        <v>3456</v>
      </c>
      <c r="C885" s="252"/>
      <c r="D885" s="252"/>
    </row>
    <row r="886" spans="1:4" x14ac:dyDescent="0.35">
      <c r="A886" s="264">
        <v>29153932</v>
      </c>
      <c r="B886" s="252" t="s">
        <v>3456</v>
      </c>
      <c r="C886" s="252"/>
      <c r="D886" s="252"/>
    </row>
    <row r="887" spans="1:4" x14ac:dyDescent="0.35">
      <c r="A887" s="264">
        <v>38237020</v>
      </c>
      <c r="B887" s="252" t="s">
        <v>3456</v>
      </c>
      <c r="C887" s="252"/>
      <c r="D887" s="252"/>
    </row>
    <row r="888" spans="1:4" x14ac:dyDescent="0.35">
      <c r="A888" s="264">
        <v>29171990</v>
      </c>
      <c r="B888" s="252" t="s">
        <v>3456</v>
      </c>
      <c r="C888" s="252"/>
      <c r="D888" s="252"/>
    </row>
    <row r="889" spans="1:4" x14ac:dyDescent="0.35">
      <c r="A889" s="264">
        <v>29051420</v>
      </c>
      <c r="B889" s="252" t="s">
        <v>3456</v>
      </c>
      <c r="C889" s="252"/>
      <c r="D889" s="252"/>
    </row>
    <row r="890" spans="1:4" x14ac:dyDescent="0.35">
      <c r="A890" s="264">
        <v>29051730</v>
      </c>
      <c r="B890" s="252" t="s">
        <v>3456</v>
      </c>
      <c r="C890" s="252"/>
      <c r="D890" s="252"/>
    </row>
    <row r="891" spans="1:4" x14ac:dyDescent="0.35">
      <c r="A891" s="264">
        <v>27101991</v>
      </c>
      <c r="B891" s="252" t="s">
        <v>3456</v>
      </c>
      <c r="C891" s="252"/>
      <c r="D891" s="252"/>
    </row>
    <row r="892" spans="1:4" x14ac:dyDescent="0.35">
      <c r="A892" s="264">
        <v>38190000</v>
      </c>
      <c r="B892" s="252" t="s">
        <v>3456</v>
      </c>
      <c r="C892" s="252"/>
      <c r="D892" s="252"/>
    </row>
    <row r="893" spans="1:4" x14ac:dyDescent="0.35">
      <c r="A893" s="264">
        <v>29141200</v>
      </c>
      <c r="B893" s="252" t="s">
        <v>3456</v>
      </c>
      <c r="C893" s="252"/>
      <c r="D893" s="252"/>
    </row>
    <row r="894" spans="1:4" x14ac:dyDescent="0.35">
      <c r="A894" s="264">
        <v>29051996</v>
      </c>
      <c r="B894" s="252" t="s">
        <v>3456</v>
      </c>
      <c r="C894" s="252"/>
      <c r="D894" s="252"/>
    </row>
    <row r="895" spans="1:4" x14ac:dyDescent="0.35">
      <c r="A895" s="264">
        <v>34029011</v>
      </c>
      <c r="B895" s="252" t="s">
        <v>3456</v>
      </c>
      <c r="C895" s="252"/>
      <c r="D895" s="252"/>
    </row>
    <row r="896" spans="1:4" x14ac:dyDescent="0.35">
      <c r="A896" s="264">
        <v>29094419</v>
      </c>
      <c r="B896" s="252" t="s">
        <v>3456</v>
      </c>
      <c r="C896" s="252"/>
      <c r="D896" s="252"/>
    </row>
    <row r="897" spans="1:4" x14ac:dyDescent="0.35">
      <c r="A897" s="264">
        <v>29051720</v>
      </c>
      <c r="B897" s="252" t="s">
        <v>3456</v>
      </c>
      <c r="C897" s="252"/>
      <c r="D897" s="252"/>
    </row>
    <row r="898" spans="1:4" x14ac:dyDescent="0.35">
      <c r="A898" s="264">
        <v>29094310</v>
      </c>
      <c r="B898" s="252" t="s">
        <v>3456</v>
      </c>
      <c r="C898" s="252"/>
      <c r="D898" s="252"/>
    </row>
    <row r="899" spans="1:4" x14ac:dyDescent="0.35">
      <c r="A899" s="264">
        <v>39069019</v>
      </c>
      <c r="B899" s="252" t="s">
        <v>3456</v>
      </c>
      <c r="C899" s="252"/>
      <c r="D899" s="252"/>
    </row>
    <row r="900" spans="1:4" x14ac:dyDescent="0.35">
      <c r="A900" s="264">
        <v>39119029</v>
      </c>
      <c r="B900" s="252" t="s">
        <v>3456</v>
      </c>
      <c r="C900" s="252"/>
      <c r="D900" s="252"/>
    </row>
    <row r="901" spans="1:4" x14ac:dyDescent="0.35">
      <c r="A901" s="264">
        <v>29221100</v>
      </c>
      <c r="B901" s="252" t="s">
        <v>3456</v>
      </c>
      <c r="C901" s="252"/>
      <c r="D901" s="252"/>
    </row>
    <row r="902" spans="1:4" x14ac:dyDescent="0.35">
      <c r="A902" s="264">
        <v>34029019</v>
      </c>
      <c r="B902" s="252" t="s">
        <v>3456</v>
      </c>
      <c r="C902" s="252"/>
      <c r="D902" s="252"/>
    </row>
    <row r="903" spans="1:4" x14ac:dyDescent="0.35">
      <c r="A903" s="264">
        <v>29094429</v>
      </c>
      <c r="B903" s="252" t="s">
        <v>3456</v>
      </c>
      <c r="C903" s="252"/>
      <c r="D903" s="252"/>
    </row>
    <row r="904" spans="1:4" x14ac:dyDescent="0.35">
      <c r="A904" s="264">
        <v>39069011</v>
      </c>
      <c r="B904" s="252" t="s">
        <v>3456</v>
      </c>
      <c r="C904" s="252"/>
      <c r="D904" s="252"/>
    </row>
    <row r="905" spans="1:4" x14ac:dyDescent="0.35">
      <c r="A905" s="264">
        <v>29054500</v>
      </c>
      <c r="B905" s="252" t="s">
        <v>3456</v>
      </c>
      <c r="C905" s="252"/>
      <c r="D905" s="252"/>
    </row>
    <row r="906" spans="1:4" x14ac:dyDescent="0.35">
      <c r="A906" s="264">
        <v>38119090</v>
      </c>
      <c r="B906" s="252" t="s">
        <v>3456</v>
      </c>
      <c r="C906" s="252"/>
      <c r="D906" s="252"/>
    </row>
    <row r="907" spans="1:4" x14ac:dyDescent="0.35">
      <c r="A907" s="264">
        <v>34049029</v>
      </c>
      <c r="B907" s="252" t="s">
        <v>3456</v>
      </c>
      <c r="C907" s="252"/>
      <c r="D907" s="252"/>
    </row>
    <row r="908" spans="1:4" x14ac:dyDescent="0.35">
      <c r="A908" s="264">
        <v>39069029</v>
      </c>
      <c r="B908" s="252" t="s">
        <v>3456</v>
      </c>
      <c r="C908" s="252"/>
      <c r="D908" s="252"/>
    </row>
    <row r="909" spans="1:4" x14ac:dyDescent="0.35">
      <c r="A909" s="264">
        <v>29209090</v>
      </c>
      <c r="B909" s="252" t="s">
        <v>3456</v>
      </c>
      <c r="C909" s="252"/>
      <c r="D909" s="252"/>
    </row>
    <row r="910" spans="1:4" x14ac:dyDescent="0.35">
      <c r="A910" s="264">
        <v>29071300</v>
      </c>
      <c r="B910" s="252" t="s">
        <v>3456</v>
      </c>
      <c r="C910" s="252"/>
      <c r="D910" s="252"/>
    </row>
    <row r="911" spans="1:4" x14ac:dyDescent="0.35">
      <c r="A911" s="264">
        <v>34023100</v>
      </c>
      <c r="B911" s="252" t="s">
        <v>3456</v>
      </c>
      <c r="C911" s="252"/>
      <c r="D911" s="252"/>
    </row>
    <row r="912" spans="1:4" x14ac:dyDescent="0.35">
      <c r="A912" s="264">
        <v>39232190</v>
      </c>
      <c r="B912" s="252" t="s">
        <v>3456</v>
      </c>
      <c r="C912" s="252"/>
      <c r="D912" s="252"/>
    </row>
    <row r="913" spans="1:4" x14ac:dyDescent="0.35">
      <c r="A913" s="264">
        <v>48191000</v>
      </c>
      <c r="B913" s="252" t="s">
        <v>3456</v>
      </c>
      <c r="C913" s="252"/>
      <c r="D913" s="252"/>
    </row>
    <row r="914" spans="1:4" x14ac:dyDescent="0.35">
      <c r="A914" s="264">
        <v>90279099</v>
      </c>
      <c r="B914" s="252" t="s">
        <v>3456</v>
      </c>
      <c r="C914" s="252"/>
      <c r="D914" s="252"/>
    </row>
    <row r="915" spans="1:4" x14ac:dyDescent="0.35">
      <c r="A915" s="264">
        <v>39069039</v>
      </c>
      <c r="B915" s="252" t="s">
        <v>3456</v>
      </c>
      <c r="C915" s="252"/>
      <c r="D915" s="252"/>
    </row>
    <row r="916" spans="1:4" x14ac:dyDescent="0.35">
      <c r="A916" s="264">
        <v>29053200</v>
      </c>
      <c r="B916" s="252" t="s">
        <v>3456</v>
      </c>
      <c r="C916" s="252"/>
      <c r="D916" s="252"/>
    </row>
    <row r="917" spans="1:4" x14ac:dyDescent="0.35">
      <c r="A917" s="264">
        <v>34049019</v>
      </c>
      <c r="B917" s="252" t="s">
        <v>3456</v>
      </c>
      <c r="C917" s="252"/>
      <c r="D917" s="252"/>
    </row>
    <row r="918" spans="1:4" x14ac:dyDescent="0.35">
      <c r="A918" s="264">
        <v>39094091</v>
      </c>
      <c r="B918" s="252" t="s">
        <v>3456</v>
      </c>
      <c r="C918" s="252"/>
      <c r="D918" s="252"/>
    </row>
    <row r="919" spans="1:4" x14ac:dyDescent="0.35">
      <c r="A919" s="264">
        <v>90279010</v>
      </c>
      <c r="B919" s="252" t="s">
        <v>3456</v>
      </c>
      <c r="C919" s="252"/>
      <c r="D919" s="252"/>
    </row>
    <row r="920" spans="1:4" x14ac:dyDescent="0.35">
      <c r="A920" s="264">
        <v>38151290</v>
      </c>
      <c r="B920" s="252" t="s">
        <v>3456</v>
      </c>
      <c r="C920" s="252"/>
      <c r="D920" s="252"/>
    </row>
    <row r="921" spans="1:4" x14ac:dyDescent="0.35">
      <c r="A921" s="264">
        <v>29094929</v>
      </c>
      <c r="B921" s="252" t="s">
        <v>3456</v>
      </c>
      <c r="C921" s="252"/>
      <c r="D921" s="252"/>
    </row>
    <row r="922" spans="1:4" x14ac:dyDescent="0.35">
      <c r="A922" s="264">
        <v>34029090</v>
      </c>
      <c r="B922" s="252" t="s">
        <v>3456</v>
      </c>
      <c r="C922" s="252"/>
      <c r="D922" s="252"/>
    </row>
    <row r="923" spans="1:4" x14ac:dyDescent="0.35">
      <c r="A923" s="264">
        <v>27101931</v>
      </c>
      <c r="B923" s="252" t="s">
        <v>3456</v>
      </c>
      <c r="C923" s="252"/>
      <c r="D923" s="252"/>
    </row>
    <row r="924" spans="1:4" x14ac:dyDescent="0.35">
      <c r="A924" s="264">
        <v>32089039</v>
      </c>
      <c r="B924" s="252" t="s">
        <v>3456</v>
      </c>
      <c r="C924" s="252"/>
      <c r="D924" s="252"/>
    </row>
    <row r="925" spans="1:4" x14ac:dyDescent="0.35">
      <c r="A925" s="264">
        <v>29221999</v>
      </c>
      <c r="B925" s="252" t="s">
        <v>3456</v>
      </c>
      <c r="C925" s="252"/>
      <c r="D925" s="252"/>
    </row>
    <row r="926" spans="1:4" x14ac:dyDescent="0.35">
      <c r="A926" s="264">
        <v>38151900</v>
      </c>
      <c r="B926" s="252" t="s">
        <v>3456</v>
      </c>
      <c r="C926" s="252"/>
      <c r="D926" s="252"/>
    </row>
    <row r="927" spans="1:4" x14ac:dyDescent="0.35">
      <c r="A927" s="264">
        <v>39094099</v>
      </c>
      <c r="B927" s="252" t="s">
        <v>3456</v>
      </c>
      <c r="C927" s="252"/>
      <c r="D927" s="252"/>
    </row>
    <row r="928" spans="1:4" x14ac:dyDescent="0.35">
      <c r="A928" s="264">
        <v>29163139</v>
      </c>
      <c r="B928" s="252" t="s">
        <v>3456</v>
      </c>
      <c r="C928" s="252"/>
      <c r="D928" s="252"/>
    </row>
    <row r="929" spans="1:4" x14ac:dyDescent="0.35">
      <c r="A929" s="264">
        <v>29153999</v>
      </c>
      <c r="B929" s="252" t="s">
        <v>3456</v>
      </c>
      <c r="C929" s="252"/>
      <c r="D929" s="252"/>
    </row>
    <row r="930" spans="1:4" x14ac:dyDescent="0.35">
      <c r="A930" s="264">
        <v>22072019</v>
      </c>
      <c r="B930" s="252" t="s">
        <v>3456</v>
      </c>
      <c r="C930" s="252"/>
      <c r="D930" s="252"/>
    </row>
    <row r="931" spans="1:4" x14ac:dyDescent="0.35">
      <c r="A931" s="264">
        <v>29159090</v>
      </c>
      <c r="B931" s="252" t="s">
        <v>3456</v>
      </c>
      <c r="C931" s="252"/>
      <c r="D931" s="252"/>
    </row>
    <row r="932" spans="1:4" x14ac:dyDescent="0.35">
      <c r="A932" s="264">
        <v>29055990</v>
      </c>
      <c r="B932" s="252" t="s">
        <v>3456</v>
      </c>
      <c r="C932" s="252"/>
      <c r="D932" s="252"/>
    </row>
    <row r="933" spans="1:4" x14ac:dyDescent="0.35">
      <c r="A933" s="264">
        <v>27121000</v>
      </c>
      <c r="B933" s="252" t="s">
        <v>3456</v>
      </c>
      <c r="C933" s="252"/>
      <c r="D933" s="252"/>
    </row>
    <row r="934" spans="1:4" x14ac:dyDescent="0.35">
      <c r="A934" s="264">
        <v>29329999</v>
      </c>
      <c r="B934" s="252" t="s">
        <v>3456</v>
      </c>
      <c r="C934" s="252"/>
      <c r="D934" s="252"/>
    </row>
    <row r="935" spans="1:4" x14ac:dyDescent="0.35">
      <c r="A935" s="264">
        <v>29094931</v>
      </c>
      <c r="B935" s="252" t="s">
        <v>3456</v>
      </c>
      <c r="C935" s="252"/>
      <c r="D935" s="252"/>
    </row>
    <row r="936" spans="1:4" x14ac:dyDescent="0.35">
      <c r="A936" s="264">
        <v>29053100</v>
      </c>
      <c r="B936" s="252" t="s">
        <v>3456</v>
      </c>
      <c r="C936" s="252"/>
      <c r="D936" s="252"/>
    </row>
    <row r="937" spans="1:4" x14ac:dyDescent="0.35">
      <c r="A937" s="264">
        <v>49019900</v>
      </c>
      <c r="B937" s="252" t="s">
        <v>3456</v>
      </c>
      <c r="C937" s="252"/>
      <c r="D937" s="252"/>
    </row>
    <row r="938" spans="1:4" x14ac:dyDescent="0.35">
      <c r="A938" s="264">
        <v>39069069</v>
      </c>
      <c r="B938" s="252" t="s">
        <v>3456</v>
      </c>
      <c r="C938" s="252"/>
      <c r="D938" s="252"/>
    </row>
    <row r="939" spans="1:4" x14ac:dyDescent="0.35">
      <c r="A939" s="264">
        <v>38249929</v>
      </c>
      <c r="B939" s="252" t="s">
        <v>3457</v>
      </c>
      <c r="C939" s="252"/>
      <c r="D939" s="252"/>
    </row>
    <row r="940" spans="1:4" x14ac:dyDescent="0.35">
      <c r="A940" s="264">
        <v>27101991</v>
      </c>
      <c r="B940" s="252" t="s">
        <v>3457</v>
      </c>
      <c r="C940" s="252"/>
      <c r="D940" s="252"/>
    </row>
    <row r="941" spans="1:4" x14ac:dyDescent="0.35">
      <c r="A941" s="264">
        <v>34024200</v>
      </c>
      <c r="B941" s="252" t="s">
        <v>3457</v>
      </c>
      <c r="C941" s="252"/>
      <c r="D941" s="252"/>
    </row>
    <row r="942" spans="1:4" x14ac:dyDescent="0.35">
      <c r="A942" s="264">
        <v>29221500</v>
      </c>
      <c r="B942" s="252" t="s">
        <v>3457</v>
      </c>
      <c r="C942" s="252"/>
      <c r="D942" s="252"/>
    </row>
    <row r="943" spans="1:4" x14ac:dyDescent="0.35">
      <c r="A943" s="264">
        <v>29051730</v>
      </c>
      <c r="B943" s="252" t="s">
        <v>3457</v>
      </c>
      <c r="C943" s="252"/>
      <c r="D943" s="252"/>
    </row>
    <row r="944" spans="1:4" x14ac:dyDescent="0.35">
      <c r="A944" s="264">
        <v>84272090</v>
      </c>
      <c r="B944" s="252" t="s">
        <v>3458</v>
      </c>
      <c r="C944" s="252"/>
      <c r="D944" s="252"/>
    </row>
    <row r="945" spans="1:4" x14ac:dyDescent="0.35">
      <c r="A945" s="264">
        <v>85176234</v>
      </c>
      <c r="B945" s="252" t="s">
        <v>3458</v>
      </c>
      <c r="C945" s="252"/>
      <c r="D945" s="252"/>
    </row>
    <row r="946" spans="1:4" x14ac:dyDescent="0.35">
      <c r="A946" s="264">
        <v>85444200</v>
      </c>
      <c r="B946" s="252" t="s">
        <v>3458</v>
      </c>
      <c r="C946" s="252"/>
      <c r="D946" s="252"/>
    </row>
    <row r="947" spans="1:4" x14ac:dyDescent="0.35">
      <c r="A947" s="264">
        <v>73110000</v>
      </c>
      <c r="B947" s="252" t="s">
        <v>3459</v>
      </c>
      <c r="C947" s="252"/>
      <c r="D947" s="252"/>
    </row>
    <row r="948" spans="1:4" x14ac:dyDescent="0.35">
      <c r="A948" s="264">
        <v>86090000</v>
      </c>
      <c r="B948" s="252" t="s">
        <v>3459</v>
      </c>
      <c r="C948" s="252"/>
      <c r="D948" s="252"/>
    </row>
    <row r="949" spans="1:4" x14ac:dyDescent="0.35">
      <c r="A949" s="264">
        <v>84818094</v>
      </c>
      <c r="B949" s="252" t="s">
        <v>3459</v>
      </c>
      <c r="C949" s="252"/>
      <c r="D949" s="252"/>
    </row>
    <row r="950" spans="1:4" x14ac:dyDescent="0.35">
      <c r="A950" s="264">
        <v>39159000</v>
      </c>
      <c r="B950" s="252" t="s">
        <v>3459</v>
      </c>
      <c r="C950" s="252"/>
      <c r="D950" s="252"/>
    </row>
    <row r="951" spans="1:4" x14ac:dyDescent="0.35">
      <c r="A951" s="264">
        <v>27101991</v>
      </c>
      <c r="B951" s="252" t="s">
        <v>3460</v>
      </c>
      <c r="C951" s="252"/>
      <c r="D951" s="252"/>
    </row>
    <row r="952" spans="1:4" x14ac:dyDescent="0.35">
      <c r="A952" s="264">
        <v>39072939</v>
      </c>
      <c r="B952" s="252" t="s">
        <v>3460</v>
      </c>
      <c r="C952" s="252"/>
      <c r="D952" s="252"/>
    </row>
    <row r="953" spans="1:4" x14ac:dyDescent="0.35">
      <c r="A953" s="264">
        <v>38249929</v>
      </c>
      <c r="B953" s="252" t="s">
        <v>3461</v>
      </c>
      <c r="C953" s="252"/>
      <c r="D953" s="252"/>
    </row>
    <row r="954" spans="1:4" x14ac:dyDescent="0.35">
      <c r="A954" s="264">
        <v>28043000</v>
      </c>
      <c r="B954" s="252" t="s">
        <v>3461</v>
      </c>
      <c r="C954" s="252"/>
      <c r="D954" s="252"/>
    </row>
    <row r="955" spans="1:4" x14ac:dyDescent="0.35">
      <c r="A955" s="264">
        <v>22019000</v>
      </c>
      <c r="B955" s="252" t="s">
        <v>3461</v>
      </c>
      <c r="C955" s="252"/>
      <c r="D955" s="252"/>
    </row>
    <row r="956" spans="1:4" x14ac:dyDescent="0.35">
      <c r="A956" s="264">
        <v>27112100</v>
      </c>
      <c r="B956" s="252" t="s">
        <v>3461</v>
      </c>
      <c r="C956" s="252"/>
      <c r="D956" s="252"/>
    </row>
    <row r="957" spans="1:4" x14ac:dyDescent="0.35">
      <c r="A957" s="264">
        <v>27160000</v>
      </c>
      <c r="B957" s="252" t="s">
        <v>3461</v>
      </c>
      <c r="C957" s="252"/>
      <c r="D957" s="252"/>
    </row>
    <row r="958" spans="1:4" x14ac:dyDescent="0.35">
      <c r="A958" s="264">
        <v>28070010</v>
      </c>
      <c r="B958" s="252" t="s">
        <v>3461</v>
      </c>
      <c r="C958" s="252"/>
      <c r="D958" s="252"/>
    </row>
    <row r="959" spans="1:4" x14ac:dyDescent="0.35">
      <c r="A959" s="264">
        <v>29152100</v>
      </c>
      <c r="B959" s="252" t="s">
        <v>3461</v>
      </c>
      <c r="C959" s="252"/>
      <c r="D959" s="252"/>
    </row>
    <row r="960" spans="1:4" x14ac:dyDescent="0.35">
      <c r="A960" s="264">
        <v>28151200</v>
      </c>
      <c r="B960" s="252" t="s">
        <v>3461</v>
      </c>
      <c r="C960" s="252"/>
      <c r="D960" s="252"/>
    </row>
    <row r="961" spans="1:4" x14ac:dyDescent="0.35">
      <c r="A961" s="264">
        <v>34024200</v>
      </c>
      <c r="B961" s="252" t="s">
        <v>3461</v>
      </c>
      <c r="C961" s="252"/>
      <c r="D961" s="252"/>
    </row>
    <row r="962" spans="1:4" x14ac:dyDescent="0.35">
      <c r="A962" s="264">
        <v>29101000</v>
      </c>
      <c r="B962" s="252" t="s">
        <v>3461</v>
      </c>
      <c r="C962" s="252"/>
      <c r="D962" s="252"/>
    </row>
    <row r="963" spans="1:4" x14ac:dyDescent="0.35">
      <c r="A963" s="264">
        <v>34023990</v>
      </c>
      <c r="B963" s="252" t="s">
        <v>3461</v>
      </c>
      <c r="C963" s="252"/>
      <c r="D963" s="252"/>
    </row>
    <row r="964" spans="1:4" x14ac:dyDescent="0.35">
      <c r="A964" s="264">
        <v>73101090</v>
      </c>
      <c r="B964" s="252" t="s">
        <v>3461</v>
      </c>
      <c r="C964" s="252"/>
      <c r="D964" s="252"/>
    </row>
    <row r="965" spans="1:4" x14ac:dyDescent="0.35">
      <c r="A965" s="264">
        <v>34029029</v>
      </c>
      <c r="B965" s="252" t="s">
        <v>3461</v>
      </c>
      <c r="C965" s="252"/>
      <c r="D965" s="252"/>
    </row>
    <row r="966" spans="1:4" x14ac:dyDescent="0.35">
      <c r="A966" s="264">
        <v>38249989</v>
      </c>
      <c r="B966" s="252" t="s">
        <v>3461</v>
      </c>
      <c r="C966" s="252"/>
      <c r="D966" s="252"/>
    </row>
    <row r="967" spans="1:4" x14ac:dyDescent="0.35">
      <c r="A967" s="264">
        <v>29094100</v>
      </c>
      <c r="B967" s="252" t="s">
        <v>3461</v>
      </c>
      <c r="C967" s="252"/>
      <c r="D967" s="252"/>
    </row>
    <row r="968" spans="1:4" x14ac:dyDescent="0.35">
      <c r="A968" s="264">
        <v>29053100</v>
      </c>
      <c r="B968" s="252" t="s">
        <v>3461</v>
      </c>
      <c r="C968" s="252"/>
      <c r="D968" s="252"/>
    </row>
    <row r="969" spans="1:4" x14ac:dyDescent="0.35">
      <c r="A969" s="264">
        <v>34042010</v>
      </c>
      <c r="B969" s="252" t="s">
        <v>3461</v>
      </c>
      <c r="C969" s="252"/>
      <c r="D969" s="252"/>
    </row>
    <row r="970" spans="1:4" x14ac:dyDescent="0.35">
      <c r="A970" s="264">
        <v>29221500</v>
      </c>
      <c r="B970" s="252" t="s">
        <v>3461</v>
      </c>
      <c r="C970" s="252"/>
      <c r="D970" s="252"/>
    </row>
    <row r="971" spans="1:4" x14ac:dyDescent="0.35">
      <c r="A971" s="264">
        <v>27101991</v>
      </c>
      <c r="B971" s="252" t="s">
        <v>3461</v>
      </c>
      <c r="C971" s="252"/>
      <c r="D971" s="252"/>
    </row>
    <row r="972" spans="1:4" x14ac:dyDescent="0.35">
      <c r="A972" s="264">
        <v>39069039</v>
      </c>
      <c r="B972" s="252" t="s">
        <v>3461</v>
      </c>
      <c r="C972" s="252"/>
      <c r="D972" s="252"/>
    </row>
    <row r="973" spans="1:4" x14ac:dyDescent="0.35">
      <c r="A973" s="264">
        <v>34049019</v>
      </c>
      <c r="B973" s="252" t="s">
        <v>3461</v>
      </c>
      <c r="C973" s="252"/>
      <c r="D973" s="252"/>
    </row>
    <row r="974" spans="1:4" x14ac:dyDescent="0.35">
      <c r="A974" s="264">
        <v>38140090</v>
      </c>
      <c r="B974" s="252" t="s">
        <v>3461</v>
      </c>
      <c r="C974" s="252"/>
      <c r="D974" s="252"/>
    </row>
    <row r="975" spans="1:4" x14ac:dyDescent="0.35">
      <c r="A975" s="264">
        <v>29094320</v>
      </c>
      <c r="B975" s="252" t="s">
        <v>3461</v>
      </c>
      <c r="C975" s="252"/>
      <c r="D975" s="252"/>
    </row>
    <row r="976" spans="1:4" x14ac:dyDescent="0.35">
      <c r="A976" s="264">
        <v>29141200</v>
      </c>
      <c r="B976" s="252" t="s">
        <v>3461</v>
      </c>
      <c r="C976" s="252"/>
      <c r="D976" s="252"/>
    </row>
    <row r="977" spans="1:4" x14ac:dyDescent="0.35">
      <c r="A977" s="264">
        <v>29094421</v>
      </c>
      <c r="B977" s="252" t="s">
        <v>3461</v>
      </c>
      <c r="C977" s="252"/>
      <c r="D977" s="252"/>
    </row>
    <row r="978" spans="1:4" x14ac:dyDescent="0.35">
      <c r="A978" s="264">
        <v>39072939</v>
      </c>
      <c r="B978" s="252" t="s">
        <v>3461</v>
      </c>
      <c r="C978" s="252"/>
      <c r="D978" s="252"/>
    </row>
    <row r="979" spans="1:4" x14ac:dyDescent="0.35">
      <c r="A979" s="264">
        <v>39072931</v>
      </c>
      <c r="B979" s="252" t="s">
        <v>3461</v>
      </c>
      <c r="C979" s="252"/>
      <c r="D979" s="252"/>
    </row>
    <row r="980" spans="1:4" x14ac:dyDescent="0.35">
      <c r="A980" s="264">
        <v>29051100</v>
      </c>
      <c r="B980" s="252" t="s">
        <v>3461</v>
      </c>
      <c r="C980" s="252"/>
      <c r="D980" s="252"/>
    </row>
    <row r="981" spans="1:4" x14ac:dyDescent="0.35">
      <c r="A981" s="264">
        <v>29153939</v>
      </c>
      <c r="B981" s="252" t="s">
        <v>3461</v>
      </c>
      <c r="C981" s="252"/>
      <c r="D981" s="252"/>
    </row>
    <row r="982" spans="1:4" x14ac:dyDescent="0.35">
      <c r="A982" s="264">
        <v>29094419</v>
      </c>
      <c r="B982" s="252" t="s">
        <v>3461</v>
      </c>
      <c r="C982" s="252"/>
      <c r="D982" s="252"/>
    </row>
    <row r="983" spans="1:4" x14ac:dyDescent="0.35">
      <c r="A983" s="264">
        <v>22072019</v>
      </c>
      <c r="B983" s="252" t="s">
        <v>3461</v>
      </c>
      <c r="C983" s="252"/>
      <c r="D983" s="252"/>
    </row>
    <row r="984" spans="1:4" x14ac:dyDescent="0.35">
      <c r="A984" s="264">
        <v>34024900</v>
      </c>
      <c r="B984" s="252" t="s">
        <v>3461</v>
      </c>
      <c r="C984" s="252"/>
      <c r="D984" s="252"/>
    </row>
    <row r="985" spans="1:4" x14ac:dyDescent="0.35">
      <c r="A985" s="264">
        <v>29041011</v>
      </c>
      <c r="B985" s="252" t="s">
        <v>3461</v>
      </c>
      <c r="C985" s="252"/>
      <c r="D985" s="252"/>
    </row>
    <row r="986" spans="1:4" x14ac:dyDescent="0.35">
      <c r="A986" s="264">
        <v>29051996</v>
      </c>
      <c r="B986" s="252" t="s">
        <v>3461</v>
      </c>
      <c r="C986" s="252"/>
      <c r="D986" s="252"/>
    </row>
    <row r="987" spans="1:4" x14ac:dyDescent="0.35">
      <c r="A987" s="264">
        <v>29051420</v>
      </c>
      <c r="B987" s="252" t="s">
        <v>3461</v>
      </c>
      <c r="C987" s="252"/>
      <c r="D987" s="252"/>
    </row>
    <row r="988" spans="1:4" x14ac:dyDescent="0.35">
      <c r="A988" s="264">
        <v>29171990</v>
      </c>
      <c r="B988" s="252" t="s">
        <v>3461</v>
      </c>
      <c r="C988" s="252"/>
      <c r="D988" s="252"/>
    </row>
    <row r="989" spans="1:4" x14ac:dyDescent="0.35">
      <c r="A989" s="264">
        <v>29094310</v>
      </c>
      <c r="B989" s="252" t="s">
        <v>3461</v>
      </c>
      <c r="C989" s="252"/>
      <c r="D989" s="252"/>
    </row>
    <row r="990" spans="1:4" x14ac:dyDescent="0.35">
      <c r="A990" s="264">
        <v>29051210</v>
      </c>
      <c r="B990" s="252" t="s">
        <v>3461</v>
      </c>
      <c r="C990" s="252"/>
      <c r="D990" s="252"/>
    </row>
    <row r="991" spans="1:4" x14ac:dyDescent="0.35">
      <c r="A991" s="264">
        <v>29221100</v>
      </c>
      <c r="B991" s="252" t="s">
        <v>3461</v>
      </c>
      <c r="C991" s="252"/>
      <c r="D991" s="252"/>
    </row>
    <row r="992" spans="1:4" x14ac:dyDescent="0.35">
      <c r="A992" s="264">
        <v>28111990</v>
      </c>
      <c r="B992" s="252" t="s">
        <v>3461</v>
      </c>
      <c r="C992" s="252"/>
      <c r="D992" s="252"/>
    </row>
    <row r="993" spans="1:4" x14ac:dyDescent="0.35">
      <c r="A993" s="264">
        <v>86090000</v>
      </c>
      <c r="B993" s="252" t="s">
        <v>3461</v>
      </c>
      <c r="C993" s="252"/>
      <c r="D993" s="252"/>
    </row>
    <row r="994" spans="1:4" x14ac:dyDescent="0.35">
      <c r="A994" s="264">
        <v>29153932</v>
      </c>
      <c r="B994" s="252" t="s">
        <v>3461</v>
      </c>
      <c r="C994" s="252"/>
      <c r="D994" s="252"/>
    </row>
    <row r="995" spans="1:4" x14ac:dyDescent="0.35">
      <c r="A995" s="264">
        <v>29094929</v>
      </c>
      <c r="B995" s="252" t="s">
        <v>3461</v>
      </c>
      <c r="C995" s="252"/>
      <c r="D995" s="252"/>
    </row>
    <row r="996" spans="1:4" x14ac:dyDescent="0.35">
      <c r="A996" s="264">
        <v>34023100</v>
      </c>
      <c r="B996" s="252" t="s">
        <v>3461</v>
      </c>
      <c r="C996" s="252"/>
      <c r="D996" s="252"/>
    </row>
    <row r="997" spans="1:4" x14ac:dyDescent="0.35">
      <c r="A997" s="264">
        <v>39119029</v>
      </c>
      <c r="B997" s="252" t="s">
        <v>3461</v>
      </c>
      <c r="C997" s="252"/>
      <c r="D997" s="252"/>
    </row>
    <row r="998" spans="1:4" x14ac:dyDescent="0.35">
      <c r="A998" s="264">
        <v>29053200</v>
      </c>
      <c r="B998" s="252" t="s">
        <v>3461</v>
      </c>
      <c r="C998" s="252"/>
      <c r="D998" s="252"/>
    </row>
    <row r="999" spans="1:4" x14ac:dyDescent="0.35">
      <c r="A999" s="264">
        <v>38249941</v>
      </c>
      <c r="B999" s="252" t="s">
        <v>3461</v>
      </c>
      <c r="C999" s="252"/>
      <c r="D999" s="252"/>
    </row>
    <row r="1000" spans="1:4" x14ac:dyDescent="0.35">
      <c r="A1000" s="264">
        <v>29094921</v>
      </c>
      <c r="B1000" s="252" t="s">
        <v>3461</v>
      </c>
      <c r="C1000" s="252"/>
      <c r="D1000" s="252"/>
    </row>
    <row r="1001" spans="1:4" x14ac:dyDescent="0.35">
      <c r="A1001" s="264">
        <v>29094411</v>
      </c>
      <c r="B1001" s="252" t="s">
        <v>3461</v>
      </c>
      <c r="C1001" s="252"/>
      <c r="D1001" s="252"/>
    </row>
    <row r="1002" spans="1:4" x14ac:dyDescent="0.35">
      <c r="A1002" s="264">
        <v>34029011</v>
      </c>
      <c r="B1002" s="252" t="s">
        <v>3461</v>
      </c>
      <c r="C1002" s="252"/>
      <c r="D1002" s="252"/>
    </row>
    <row r="1003" spans="1:4" x14ac:dyDescent="0.35">
      <c r="A1003" s="264">
        <v>38190000</v>
      </c>
      <c r="B1003" s="252" t="s">
        <v>3461</v>
      </c>
      <c r="C1003" s="252"/>
      <c r="D1003" s="252"/>
    </row>
    <row r="1004" spans="1:4" x14ac:dyDescent="0.35">
      <c r="A1004" s="264">
        <v>29332999</v>
      </c>
      <c r="B1004" s="252" t="s">
        <v>3461</v>
      </c>
      <c r="C1004" s="252"/>
      <c r="D1004" s="252"/>
    </row>
    <row r="1005" spans="1:4" x14ac:dyDescent="0.35">
      <c r="A1005" s="264">
        <v>29094429</v>
      </c>
      <c r="B1005" s="252" t="s">
        <v>3461</v>
      </c>
      <c r="C1005" s="252"/>
      <c r="D1005" s="252"/>
    </row>
    <row r="1006" spans="1:4" x14ac:dyDescent="0.35">
      <c r="A1006" s="264">
        <v>38151290</v>
      </c>
      <c r="B1006" s="252" t="s">
        <v>3461</v>
      </c>
      <c r="C1006" s="252"/>
      <c r="D1006" s="252"/>
    </row>
    <row r="1007" spans="1:4" x14ac:dyDescent="0.35">
      <c r="A1007" s="264">
        <v>38112990</v>
      </c>
      <c r="B1007" s="252" t="s">
        <v>3461</v>
      </c>
      <c r="C1007" s="252"/>
      <c r="D1007" s="252"/>
    </row>
    <row r="1008" spans="1:4" x14ac:dyDescent="0.35">
      <c r="A1008" s="264">
        <v>29221200</v>
      </c>
      <c r="B1008" s="252" t="s">
        <v>3461</v>
      </c>
      <c r="C1008" s="252"/>
      <c r="D1008" s="252"/>
    </row>
    <row r="1009" spans="1:4" x14ac:dyDescent="0.35">
      <c r="A1009" s="264">
        <v>39159000</v>
      </c>
      <c r="B1009" s="252" t="s">
        <v>3461</v>
      </c>
      <c r="C1009" s="252"/>
      <c r="D1009" s="252"/>
    </row>
    <row r="1010" spans="1:4" x14ac:dyDescent="0.35">
      <c r="A1010" s="264">
        <v>29336921</v>
      </c>
      <c r="B1010" s="252" t="s">
        <v>3461</v>
      </c>
      <c r="C1010" s="252"/>
      <c r="D1010" s="252"/>
    </row>
    <row r="1011" spans="1:4" x14ac:dyDescent="0.35">
      <c r="A1011" s="264">
        <v>38231990</v>
      </c>
      <c r="B1011" s="252" t="s">
        <v>3461</v>
      </c>
      <c r="C1011" s="252"/>
      <c r="D1011" s="252"/>
    </row>
    <row r="1012" spans="1:4" x14ac:dyDescent="0.35">
      <c r="A1012" s="264">
        <v>28152000</v>
      </c>
      <c r="B1012" s="252" t="s">
        <v>3461</v>
      </c>
      <c r="C1012" s="252"/>
      <c r="D1012" s="252"/>
    </row>
    <row r="1013" spans="1:4" x14ac:dyDescent="0.35">
      <c r="A1013" s="264">
        <v>28331110</v>
      </c>
      <c r="B1013" s="252" t="s">
        <v>3461</v>
      </c>
      <c r="C1013" s="252"/>
      <c r="D1013" s="252"/>
    </row>
    <row r="1014" spans="1:4" x14ac:dyDescent="0.35">
      <c r="A1014" s="264">
        <v>39239090</v>
      </c>
      <c r="B1014" s="252" t="s">
        <v>3461</v>
      </c>
      <c r="C1014" s="252"/>
      <c r="D1014" s="252"/>
    </row>
    <row r="1015" spans="1:4" x14ac:dyDescent="0.35">
      <c r="A1015" s="264">
        <v>69032090</v>
      </c>
      <c r="B1015" s="252" t="s">
        <v>3461</v>
      </c>
      <c r="C1015" s="252"/>
      <c r="D1015" s="252"/>
    </row>
    <row r="1016" spans="1:4" x14ac:dyDescent="0.35">
      <c r="A1016" s="264">
        <v>38151900</v>
      </c>
      <c r="B1016" s="252" t="s">
        <v>3461</v>
      </c>
      <c r="C1016" s="252"/>
      <c r="D1016" s="252"/>
    </row>
    <row r="1017" spans="1:4" x14ac:dyDescent="0.35">
      <c r="A1017" s="264">
        <v>29054400</v>
      </c>
      <c r="B1017" s="252" t="s">
        <v>3461</v>
      </c>
      <c r="C1017" s="252"/>
      <c r="D1017" s="252"/>
    </row>
    <row r="1018" spans="1:4" x14ac:dyDescent="0.35">
      <c r="A1018" s="264">
        <v>40021110</v>
      </c>
      <c r="B1018" s="252" t="s">
        <v>3461</v>
      </c>
      <c r="C1018" s="252"/>
      <c r="D1018" s="252"/>
    </row>
    <row r="1019" spans="1:4" x14ac:dyDescent="0.35">
      <c r="A1019" s="264">
        <v>40012990</v>
      </c>
      <c r="B1019" s="252" t="s">
        <v>3461</v>
      </c>
      <c r="C1019" s="252"/>
      <c r="D1019" s="252"/>
    </row>
    <row r="1020" spans="1:4" x14ac:dyDescent="0.35">
      <c r="A1020" s="264">
        <v>15180010</v>
      </c>
      <c r="B1020" s="252" t="s">
        <v>3461</v>
      </c>
      <c r="C1020" s="252"/>
      <c r="D1020" s="252"/>
    </row>
    <row r="1021" spans="1:4" x14ac:dyDescent="0.35">
      <c r="A1021" s="264">
        <v>27121000</v>
      </c>
      <c r="B1021" s="252" t="s">
        <v>3461</v>
      </c>
      <c r="C1021" s="252"/>
      <c r="D1021" s="252"/>
    </row>
    <row r="1022" spans="1:4" x14ac:dyDescent="0.35">
      <c r="A1022" s="264">
        <v>39069011</v>
      </c>
      <c r="B1022" s="252" t="s">
        <v>3461</v>
      </c>
      <c r="C1022" s="252"/>
      <c r="D1022" s="252"/>
    </row>
    <row r="1023" spans="1:4" x14ac:dyDescent="0.35">
      <c r="A1023" s="264">
        <v>38237010</v>
      </c>
      <c r="B1023" s="252" t="s">
        <v>3461</v>
      </c>
      <c r="C1023" s="252"/>
      <c r="D1023" s="252"/>
    </row>
    <row r="1024" spans="1:4" x14ac:dyDescent="0.35">
      <c r="A1024" s="264">
        <v>29094990</v>
      </c>
      <c r="B1024" s="252" t="s">
        <v>3461</v>
      </c>
      <c r="C1024" s="252"/>
      <c r="D1024" s="252"/>
    </row>
    <row r="1025" spans="1:4" x14ac:dyDescent="0.35">
      <c r="A1025" s="264">
        <v>48219000</v>
      </c>
      <c r="B1025" s="252" t="s">
        <v>3461</v>
      </c>
      <c r="C1025" s="252"/>
      <c r="D1025" s="252"/>
    </row>
    <row r="1026" spans="1:4" x14ac:dyDescent="0.35">
      <c r="A1026" s="264">
        <v>28100010</v>
      </c>
      <c r="B1026" s="252" t="s">
        <v>3461</v>
      </c>
      <c r="C1026" s="252"/>
      <c r="D1026" s="252"/>
    </row>
    <row r="1027" spans="1:4" x14ac:dyDescent="0.35">
      <c r="A1027" s="264">
        <v>34039900</v>
      </c>
      <c r="B1027" s="252" t="s">
        <v>3461</v>
      </c>
      <c r="C1027" s="252"/>
      <c r="D1027" s="252"/>
    </row>
    <row r="1028" spans="1:4" x14ac:dyDescent="0.35">
      <c r="A1028" s="264">
        <v>29054500</v>
      </c>
      <c r="B1028" s="252" t="s">
        <v>3461</v>
      </c>
      <c r="C1028" s="252"/>
      <c r="D1028" s="252"/>
    </row>
    <row r="1029" spans="1:4" x14ac:dyDescent="0.35">
      <c r="A1029" s="264">
        <v>28092090</v>
      </c>
      <c r="B1029" s="252" t="s">
        <v>3461</v>
      </c>
      <c r="C1029" s="252"/>
      <c r="D1029" s="252"/>
    </row>
    <row r="1030" spans="1:4" x14ac:dyDescent="0.35">
      <c r="A1030" s="264">
        <v>38119090</v>
      </c>
      <c r="B1030" s="252" t="s">
        <v>3461</v>
      </c>
      <c r="C1030" s="252"/>
      <c r="D1030" s="252"/>
    </row>
    <row r="1031" spans="1:4" x14ac:dyDescent="0.35">
      <c r="A1031" s="264">
        <v>38231100</v>
      </c>
      <c r="B1031" s="252" t="s">
        <v>3461</v>
      </c>
      <c r="C1031" s="252"/>
      <c r="D1031" s="252"/>
    </row>
    <row r="1032" spans="1:4" x14ac:dyDescent="0.35">
      <c r="A1032" s="264">
        <v>29071300</v>
      </c>
      <c r="B1032" s="252" t="s">
        <v>3461</v>
      </c>
      <c r="C1032" s="252"/>
      <c r="D1032" s="252"/>
    </row>
    <row r="1033" spans="1:4" x14ac:dyDescent="0.35">
      <c r="A1033" s="264">
        <v>39233090</v>
      </c>
      <c r="B1033" s="252" t="s">
        <v>3461</v>
      </c>
      <c r="C1033" s="252"/>
      <c r="D1033" s="252"/>
    </row>
    <row r="1034" spans="1:4" x14ac:dyDescent="0.35">
      <c r="A1034" s="264">
        <v>59119000</v>
      </c>
      <c r="B1034" s="252" t="s">
        <v>3461</v>
      </c>
      <c r="C1034" s="252"/>
      <c r="D1034" s="252"/>
    </row>
    <row r="1035" spans="1:4" x14ac:dyDescent="0.35">
      <c r="A1035" s="264">
        <v>34029019</v>
      </c>
      <c r="B1035" s="252" t="s">
        <v>3461</v>
      </c>
      <c r="C1035" s="252"/>
      <c r="D1035" s="252"/>
    </row>
    <row r="1036" spans="1:4" x14ac:dyDescent="0.35">
      <c r="A1036" s="264">
        <v>83099000</v>
      </c>
      <c r="B1036" s="252" t="s">
        <v>3461</v>
      </c>
      <c r="C1036" s="252"/>
      <c r="D1036" s="252"/>
    </row>
    <row r="1037" spans="1:4" x14ac:dyDescent="0.35">
      <c r="A1037" s="264">
        <v>39232190</v>
      </c>
      <c r="B1037" s="252" t="s">
        <v>3461</v>
      </c>
      <c r="C1037" s="252"/>
      <c r="D1037" s="252"/>
    </row>
    <row r="1038" spans="1:4" x14ac:dyDescent="0.35">
      <c r="A1038" s="264">
        <v>29071910</v>
      </c>
      <c r="B1038" s="252" t="s">
        <v>3461</v>
      </c>
      <c r="C1038" s="252"/>
      <c r="D1038" s="252"/>
    </row>
    <row r="1039" spans="1:4" x14ac:dyDescent="0.35">
      <c r="A1039" s="264">
        <v>38237090</v>
      </c>
      <c r="B1039" s="252" t="s">
        <v>3461</v>
      </c>
      <c r="C1039" s="252"/>
      <c r="D1039" s="252"/>
    </row>
    <row r="1040" spans="1:4" x14ac:dyDescent="0.35">
      <c r="A1040" s="264">
        <v>32041210</v>
      </c>
      <c r="B1040" s="252" t="s">
        <v>3461</v>
      </c>
      <c r="C1040" s="252"/>
      <c r="D1040" s="252"/>
    </row>
    <row r="1041" spans="1:4" x14ac:dyDescent="0.35">
      <c r="A1041" s="264">
        <v>32041600</v>
      </c>
      <c r="B1041" s="252" t="s">
        <v>3461</v>
      </c>
      <c r="C1041" s="252"/>
      <c r="D1041" s="252"/>
    </row>
    <row r="1042" spans="1:4" x14ac:dyDescent="0.35">
      <c r="A1042" s="264">
        <v>39235000</v>
      </c>
      <c r="B1042" s="252" t="s">
        <v>3461</v>
      </c>
      <c r="C1042" s="252"/>
      <c r="D1042" s="252"/>
    </row>
    <row r="1043" spans="1:4" x14ac:dyDescent="0.35">
      <c r="A1043" s="264">
        <v>22071010</v>
      </c>
      <c r="B1043" s="252" t="s">
        <v>3461</v>
      </c>
      <c r="C1043" s="252"/>
      <c r="D1043" s="252"/>
    </row>
    <row r="1044" spans="1:4" x14ac:dyDescent="0.35">
      <c r="A1044" s="264">
        <v>84439923</v>
      </c>
      <c r="B1044" s="252" t="s">
        <v>3461</v>
      </c>
      <c r="C1044" s="252"/>
      <c r="D1044" s="252"/>
    </row>
    <row r="1045" spans="1:4" x14ac:dyDescent="0.35">
      <c r="A1045" s="264">
        <v>29181400</v>
      </c>
      <c r="B1045" s="252" t="s">
        <v>3461</v>
      </c>
      <c r="C1045" s="252"/>
      <c r="D1045" s="252"/>
    </row>
    <row r="1046" spans="1:4" x14ac:dyDescent="0.35">
      <c r="A1046" s="264">
        <v>29051410</v>
      </c>
      <c r="B1046" s="252" t="s">
        <v>3461</v>
      </c>
      <c r="C1046" s="252"/>
      <c r="D1046" s="252"/>
    </row>
    <row r="1047" spans="1:4" x14ac:dyDescent="0.35">
      <c r="A1047" s="264">
        <v>28289011</v>
      </c>
      <c r="B1047" s="252" t="s">
        <v>3461</v>
      </c>
      <c r="C1047" s="252"/>
      <c r="D1047" s="252"/>
    </row>
    <row r="1048" spans="1:4" x14ac:dyDescent="0.35">
      <c r="A1048" s="264">
        <v>28092011</v>
      </c>
      <c r="B1048" s="252" t="s">
        <v>3461</v>
      </c>
      <c r="C1048" s="252"/>
      <c r="D1048" s="252"/>
    </row>
    <row r="1049" spans="1:4" x14ac:dyDescent="0.35">
      <c r="A1049" s="264">
        <v>38237020</v>
      </c>
      <c r="B1049" s="252" t="s">
        <v>3461</v>
      </c>
      <c r="C1049" s="252"/>
      <c r="D1049" s="252"/>
    </row>
    <row r="1050" spans="1:4" x14ac:dyDescent="0.35">
      <c r="A1050" s="264">
        <v>29211999</v>
      </c>
      <c r="B1050" s="252" t="s">
        <v>3461</v>
      </c>
      <c r="C1050" s="252"/>
      <c r="D1050" s="252"/>
    </row>
    <row r="1051" spans="1:4" x14ac:dyDescent="0.35">
      <c r="A1051" s="264">
        <v>29051600</v>
      </c>
      <c r="B1051" s="252" t="s">
        <v>3461</v>
      </c>
      <c r="C1051" s="252"/>
      <c r="D1051" s="252"/>
    </row>
    <row r="1052" spans="1:4" x14ac:dyDescent="0.35">
      <c r="A1052" s="264">
        <v>38029010</v>
      </c>
      <c r="B1052" s="252" t="s">
        <v>3461</v>
      </c>
      <c r="C1052" s="252"/>
      <c r="D1052" s="252"/>
    </row>
    <row r="1053" spans="1:4" x14ac:dyDescent="0.35">
      <c r="A1053" s="264">
        <v>48239099</v>
      </c>
      <c r="B1053" s="252" t="s">
        <v>3461</v>
      </c>
      <c r="C1053" s="252"/>
      <c r="D1053" s="252"/>
    </row>
    <row r="1054" spans="1:4" x14ac:dyDescent="0.35">
      <c r="A1054" s="264">
        <v>15132919</v>
      </c>
      <c r="B1054" s="252" t="s">
        <v>3462</v>
      </c>
      <c r="C1054" s="252"/>
      <c r="D1054" s="252"/>
    </row>
    <row r="1055" spans="1:4" x14ac:dyDescent="0.35">
      <c r="A1055" s="264">
        <v>38249929</v>
      </c>
      <c r="B1055" s="252" t="s">
        <v>3462</v>
      </c>
      <c r="C1055" s="252"/>
      <c r="D1055" s="252"/>
    </row>
    <row r="1056" spans="1:4" x14ac:dyDescent="0.35">
      <c r="A1056" s="264">
        <v>34024200</v>
      </c>
      <c r="B1056" s="252" t="s">
        <v>3462</v>
      </c>
      <c r="C1056" s="252"/>
      <c r="D1056" s="252"/>
    </row>
    <row r="1057" spans="1:4" x14ac:dyDescent="0.35">
      <c r="A1057" s="264">
        <v>29141200</v>
      </c>
      <c r="B1057" s="252" t="s">
        <v>3462</v>
      </c>
      <c r="C1057" s="252"/>
      <c r="D1057" s="252"/>
    </row>
    <row r="1058" spans="1:4" x14ac:dyDescent="0.35">
      <c r="A1058" s="264">
        <v>38249989</v>
      </c>
      <c r="B1058" s="252" t="s">
        <v>3462</v>
      </c>
      <c r="C1058" s="252"/>
      <c r="D1058" s="252"/>
    </row>
    <row r="1059" spans="1:4" x14ac:dyDescent="0.35">
      <c r="A1059" s="264">
        <v>28321010</v>
      </c>
      <c r="B1059" s="252" t="s">
        <v>3462</v>
      </c>
      <c r="C1059" s="252"/>
      <c r="D1059" s="252"/>
    </row>
    <row r="1060" spans="1:4" x14ac:dyDescent="0.35">
      <c r="A1060" s="264">
        <v>38237010</v>
      </c>
      <c r="B1060" s="252" t="s">
        <v>3462</v>
      </c>
      <c r="C1060" s="252"/>
      <c r="D1060" s="252"/>
    </row>
    <row r="1061" spans="1:4" x14ac:dyDescent="0.35">
      <c r="A1061" s="264">
        <v>29154020</v>
      </c>
      <c r="B1061" s="252" t="s">
        <v>3462</v>
      </c>
      <c r="C1061" s="252"/>
      <c r="D1061" s="252"/>
    </row>
    <row r="1062" spans="1:4" x14ac:dyDescent="0.35">
      <c r="A1062" s="264">
        <v>34023990</v>
      </c>
      <c r="B1062" s="252" t="s">
        <v>3462</v>
      </c>
      <c r="C1062" s="252"/>
      <c r="D1062" s="252"/>
    </row>
    <row r="1063" spans="1:4" x14ac:dyDescent="0.35">
      <c r="A1063" s="264">
        <v>38237090</v>
      </c>
      <c r="B1063" s="252" t="s">
        <v>3462</v>
      </c>
      <c r="C1063" s="252"/>
      <c r="D1063" s="252"/>
    </row>
    <row r="1064" spans="1:4" x14ac:dyDescent="0.35">
      <c r="A1064" s="264">
        <v>29054400</v>
      </c>
      <c r="B1064" s="252" t="s">
        <v>3462</v>
      </c>
      <c r="C1064" s="252"/>
      <c r="D1064" s="252"/>
    </row>
    <row r="1065" spans="1:4" x14ac:dyDescent="0.35">
      <c r="A1065" s="264">
        <v>29051600</v>
      </c>
      <c r="B1065" s="252" t="s">
        <v>3462</v>
      </c>
      <c r="C1065" s="252"/>
      <c r="D1065" s="252"/>
    </row>
    <row r="1066" spans="1:4" x14ac:dyDescent="0.35">
      <c r="A1066" s="264">
        <v>29051720</v>
      </c>
      <c r="B1066" s="252" t="s">
        <v>3462</v>
      </c>
      <c r="C1066" s="252"/>
      <c r="D1066" s="252"/>
    </row>
    <row r="1067" spans="1:4" x14ac:dyDescent="0.35">
      <c r="A1067" s="264">
        <v>29072300</v>
      </c>
      <c r="B1067" s="252" t="s">
        <v>3462</v>
      </c>
      <c r="C1067" s="252"/>
      <c r="D1067" s="252"/>
    </row>
    <row r="1068" spans="1:4" x14ac:dyDescent="0.35">
      <c r="A1068" s="264">
        <v>28100010</v>
      </c>
      <c r="B1068" s="252" t="s">
        <v>3462</v>
      </c>
      <c r="C1068" s="252"/>
      <c r="D1068" s="252"/>
    </row>
    <row r="1069" spans="1:4" x14ac:dyDescent="0.35">
      <c r="A1069" s="264">
        <v>29212990</v>
      </c>
      <c r="B1069" s="252" t="s">
        <v>3462</v>
      </c>
      <c r="C1069" s="252"/>
      <c r="D1069" s="252"/>
    </row>
    <row r="1070" spans="1:4" x14ac:dyDescent="0.35">
      <c r="A1070" s="264">
        <v>29071300</v>
      </c>
      <c r="B1070" s="252" t="s">
        <v>3462</v>
      </c>
      <c r="C1070" s="252"/>
      <c r="D1070" s="252"/>
    </row>
    <row r="1071" spans="1:4" x14ac:dyDescent="0.35">
      <c r="A1071" s="264">
        <v>29094931</v>
      </c>
      <c r="B1071" s="252" t="s">
        <v>3462</v>
      </c>
      <c r="C1071" s="252"/>
      <c r="D1071" s="252"/>
    </row>
    <row r="1072" spans="1:4" x14ac:dyDescent="0.35">
      <c r="A1072" s="264">
        <v>34029029</v>
      </c>
      <c r="B1072" s="252" t="s">
        <v>3462</v>
      </c>
      <c r="C1072" s="252"/>
      <c r="D1072" s="252"/>
    </row>
    <row r="1073" spans="1:4" x14ac:dyDescent="0.35">
      <c r="A1073" s="264">
        <v>29051410</v>
      </c>
      <c r="B1073" s="252" t="s">
        <v>3462</v>
      </c>
      <c r="C1073" s="252"/>
      <c r="D1073" s="252"/>
    </row>
    <row r="1074" spans="1:4" x14ac:dyDescent="0.35">
      <c r="A1074" s="264">
        <v>38231200</v>
      </c>
      <c r="B1074" s="252" t="s">
        <v>3462</v>
      </c>
      <c r="C1074" s="252"/>
      <c r="D1074" s="252"/>
    </row>
    <row r="1075" spans="1:4" x14ac:dyDescent="0.35">
      <c r="A1075" s="264">
        <v>29051210</v>
      </c>
      <c r="B1075" s="252" t="s">
        <v>3462</v>
      </c>
      <c r="C1075" s="252"/>
      <c r="D1075" s="252"/>
    </row>
    <row r="1076" spans="1:4" x14ac:dyDescent="0.35">
      <c r="A1076" s="264">
        <v>29152100</v>
      </c>
      <c r="B1076" s="252" t="s">
        <v>3462</v>
      </c>
      <c r="C1076" s="252"/>
      <c r="D1076" s="252"/>
    </row>
    <row r="1077" spans="1:4" x14ac:dyDescent="0.35">
      <c r="A1077" s="264">
        <v>38231990</v>
      </c>
      <c r="B1077" s="252" t="s">
        <v>3462</v>
      </c>
      <c r="C1077" s="252"/>
      <c r="D1077" s="252"/>
    </row>
    <row r="1078" spans="1:4" x14ac:dyDescent="0.35">
      <c r="A1078" s="264">
        <v>29051993</v>
      </c>
      <c r="B1078" s="252" t="s">
        <v>3462</v>
      </c>
      <c r="C1078" s="252"/>
      <c r="D1078" s="252"/>
    </row>
    <row r="1079" spans="1:4" x14ac:dyDescent="0.35">
      <c r="A1079" s="264">
        <v>29153939</v>
      </c>
      <c r="B1079" s="252" t="s">
        <v>3462</v>
      </c>
      <c r="C1079" s="252"/>
      <c r="D1079" s="252"/>
    </row>
    <row r="1080" spans="1:4" x14ac:dyDescent="0.35">
      <c r="A1080" s="264">
        <v>29094310</v>
      </c>
      <c r="B1080" s="252" t="s">
        <v>3462</v>
      </c>
      <c r="C1080" s="252"/>
      <c r="D1080" s="252"/>
    </row>
    <row r="1081" spans="1:4" x14ac:dyDescent="0.35">
      <c r="A1081" s="264">
        <v>29211999</v>
      </c>
      <c r="B1081" s="252" t="s">
        <v>3462</v>
      </c>
      <c r="C1081" s="252"/>
      <c r="D1081" s="252"/>
    </row>
    <row r="1082" spans="1:4" x14ac:dyDescent="0.35">
      <c r="A1082" s="264">
        <v>38237020</v>
      </c>
      <c r="B1082" s="252" t="s">
        <v>3462</v>
      </c>
      <c r="C1082" s="252"/>
      <c r="D1082" s="252"/>
    </row>
    <row r="1083" spans="1:4" x14ac:dyDescent="0.35">
      <c r="A1083" s="264">
        <v>29126000</v>
      </c>
      <c r="B1083" s="252" t="s">
        <v>3462</v>
      </c>
      <c r="C1083" s="252"/>
      <c r="D1083" s="252"/>
    </row>
    <row r="1084" spans="1:4" x14ac:dyDescent="0.35">
      <c r="A1084" s="264">
        <v>29153931</v>
      </c>
      <c r="B1084" s="252" t="s">
        <v>3462</v>
      </c>
      <c r="C1084" s="252"/>
      <c r="D1084" s="252"/>
    </row>
    <row r="1085" spans="1:4" x14ac:dyDescent="0.35">
      <c r="A1085" s="264">
        <v>34023100</v>
      </c>
      <c r="B1085" s="252" t="s">
        <v>3462</v>
      </c>
      <c r="C1085" s="252"/>
      <c r="D1085" s="252"/>
    </row>
    <row r="1086" spans="1:4" x14ac:dyDescent="0.35">
      <c r="A1086" s="264">
        <v>15153000</v>
      </c>
      <c r="B1086" s="252" t="s">
        <v>3462</v>
      </c>
      <c r="C1086" s="252"/>
      <c r="D1086" s="252"/>
    </row>
    <row r="1087" spans="1:4" x14ac:dyDescent="0.35">
      <c r="A1087" s="264">
        <v>29054100</v>
      </c>
      <c r="B1087" s="252" t="s">
        <v>3462</v>
      </c>
      <c r="C1087" s="252"/>
      <c r="D1087" s="252"/>
    </row>
    <row r="1088" spans="1:4" x14ac:dyDescent="0.35">
      <c r="A1088" s="264">
        <v>63053390</v>
      </c>
      <c r="B1088" s="252" t="s">
        <v>3462</v>
      </c>
      <c r="C1088" s="252"/>
      <c r="D1088" s="252"/>
    </row>
    <row r="1089" spans="1:4" x14ac:dyDescent="0.35">
      <c r="A1089" s="264">
        <v>29094421</v>
      </c>
      <c r="B1089" s="252" t="s">
        <v>3462</v>
      </c>
      <c r="C1089" s="252"/>
      <c r="D1089" s="252"/>
    </row>
    <row r="1090" spans="1:4" x14ac:dyDescent="0.35">
      <c r="A1090" s="264">
        <v>29053100</v>
      </c>
      <c r="B1090" s="252" t="s">
        <v>3462</v>
      </c>
      <c r="C1090" s="252"/>
      <c r="D1090" s="252"/>
    </row>
    <row r="1091" spans="1:4" x14ac:dyDescent="0.35">
      <c r="A1091" s="264">
        <v>28321090</v>
      </c>
      <c r="B1091" s="252" t="s">
        <v>3462</v>
      </c>
      <c r="C1091" s="252"/>
      <c r="D1091" s="252"/>
    </row>
    <row r="1092" spans="1:4" x14ac:dyDescent="0.35">
      <c r="A1092" s="264">
        <v>39072931</v>
      </c>
      <c r="B1092" s="252" t="s">
        <v>3462</v>
      </c>
      <c r="C1092" s="252"/>
      <c r="D1092" s="252"/>
    </row>
    <row r="1093" spans="1:4" x14ac:dyDescent="0.35">
      <c r="A1093" s="264">
        <v>29213011</v>
      </c>
      <c r="B1093" s="252" t="s">
        <v>3462</v>
      </c>
      <c r="C1093" s="252"/>
      <c r="D1093" s="252"/>
    </row>
    <row r="1094" spans="1:4" x14ac:dyDescent="0.35">
      <c r="A1094" s="264">
        <v>29094100</v>
      </c>
      <c r="B1094" s="252" t="s">
        <v>3462</v>
      </c>
      <c r="C1094" s="252"/>
      <c r="D1094" s="252"/>
    </row>
    <row r="1095" spans="1:4" x14ac:dyDescent="0.35">
      <c r="A1095" s="264">
        <v>39072939</v>
      </c>
      <c r="B1095" s="252" t="s">
        <v>3462</v>
      </c>
      <c r="C1095" s="252"/>
      <c r="D1095" s="252"/>
    </row>
    <row r="1096" spans="1:4" x14ac:dyDescent="0.35">
      <c r="A1096" s="264">
        <v>29053200</v>
      </c>
      <c r="B1096" s="252" t="s">
        <v>3462</v>
      </c>
      <c r="C1096" s="252"/>
      <c r="D1096" s="252"/>
    </row>
    <row r="1097" spans="1:4" x14ac:dyDescent="0.35">
      <c r="A1097" s="264">
        <v>22072019</v>
      </c>
      <c r="B1097" s="252" t="s">
        <v>3462</v>
      </c>
      <c r="C1097" s="252"/>
      <c r="D1097" s="252"/>
    </row>
    <row r="1098" spans="1:4" x14ac:dyDescent="0.35">
      <c r="A1098" s="264">
        <v>34029019</v>
      </c>
      <c r="B1098" s="252" t="s">
        <v>3462</v>
      </c>
      <c r="C1098" s="252"/>
      <c r="D1098" s="252"/>
    </row>
    <row r="1099" spans="1:4" x14ac:dyDescent="0.35">
      <c r="A1099" s="264">
        <v>29221200</v>
      </c>
      <c r="B1099" s="252" t="s">
        <v>3462</v>
      </c>
      <c r="C1099" s="252"/>
      <c r="D1099" s="252"/>
    </row>
    <row r="1100" spans="1:4" x14ac:dyDescent="0.35">
      <c r="A1100" s="264">
        <v>22019000</v>
      </c>
      <c r="B1100" s="252" t="s">
        <v>3463</v>
      </c>
      <c r="C1100" s="252"/>
      <c r="D1100" s="252"/>
    </row>
    <row r="1101" spans="1:4" x14ac:dyDescent="0.35">
      <c r="A1101" s="264">
        <v>34023990</v>
      </c>
      <c r="B1101" s="252" t="s">
        <v>3463</v>
      </c>
      <c r="C1101" s="252"/>
      <c r="D1101" s="252"/>
    </row>
    <row r="1102" spans="1:4" x14ac:dyDescent="0.35">
      <c r="A1102" s="264">
        <v>29332999</v>
      </c>
      <c r="B1102" s="252" t="s">
        <v>3463</v>
      </c>
      <c r="C1102" s="252"/>
      <c r="D1102" s="252"/>
    </row>
    <row r="1103" spans="1:4" x14ac:dyDescent="0.35">
      <c r="A1103" s="264">
        <v>38231990</v>
      </c>
      <c r="B1103" s="252" t="s">
        <v>3463</v>
      </c>
      <c r="C1103" s="252"/>
      <c r="D1103" s="252"/>
    </row>
    <row r="1104" spans="1:4" x14ac:dyDescent="0.35">
      <c r="A1104" s="264">
        <v>29053200</v>
      </c>
      <c r="B1104" s="252" t="s">
        <v>3463</v>
      </c>
      <c r="C1104" s="252"/>
      <c r="D1104" s="252"/>
    </row>
    <row r="1105" spans="1:4" x14ac:dyDescent="0.35">
      <c r="A1105" s="264">
        <v>29221100</v>
      </c>
      <c r="B1105" s="252" t="s">
        <v>3463</v>
      </c>
      <c r="C1105" s="252"/>
      <c r="D1105" s="252"/>
    </row>
    <row r="1106" spans="1:4" x14ac:dyDescent="0.35">
      <c r="A1106" s="264">
        <v>73101090</v>
      </c>
      <c r="B1106" s="252" t="s">
        <v>3463</v>
      </c>
      <c r="C1106" s="252"/>
      <c r="D1106" s="252"/>
    </row>
    <row r="1107" spans="1:4" x14ac:dyDescent="0.35">
      <c r="A1107" s="264">
        <v>86090000</v>
      </c>
      <c r="B1107" s="252" t="s">
        <v>3463</v>
      </c>
      <c r="C1107" s="252"/>
      <c r="D1107" s="252"/>
    </row>
    <row r="1108" spans="1:4" x14ac:dyDescent="0.35">
      <c r="A1108" s="264">
        <v>39239090</v>
      </c>
      <c r="B1108" s="252" t="s">
        <v>3463</v>
      </c>
      <c r="C1108" s="252"/>
      <c r="D1108" s="252"/>
    </row>
    <row r="1109" spans="1:4" x14ac:dyDescent="0.35">
      <c r="A1109" s="264">
        <v>34029029</v>
      </c>
      <c r="B1109" s="252" t="s">
        <v>3463</v>
      </c>
      <c r="C1109" s="252"/>
      <c r="D1109" s="252"/>
    </row>
    <row r="1110" spans="1:4" x14ac:dyDescent="0.35">
      <c r="A1110" s="264">
        <v>38249929</v>
      </c>
      <c r="B1110" s="252" t="s">
        <v>3463</v>
      </c>
      <c r="C1110" s="252"/>
      <c r="D1110" s="252"/>
    </row>
    <row r="1111" spans="1:4" x14ac:dyDescent="0.35">
      <c r="A1111" s="264">
        <v>28111990</v>
      </c>
      <c r="B1111" s="252" t="s">
        <v>3463</v>
      </c>
      <c r="C1111" s="252"/>
      <c r="D1111" s="252"/>
    </row>
    <row r="1112" spans="1:4" x14ac:dyDescent="0.35">
      <c r="A1112" s="264">
        <v>28092011</v>
      </c>
      <c r="B1112" s="252" t="s">
        <v>3463</v>
      </c>
      <c r="C1112" s="252"/>
      <c r="D1112" s="252"/>
    </row>
    <row r="1113" spans="1:4" x14ac:dyDescent="0.35">
      <c r="A1113" s="264">
        <v>34024200</v>
      </c>
      <c r="B1113" s="252" t="s">
        <v>3463</v>
      </c>
      <c r="C1113" s="252"/>
      <c r="D1113" s="252"/>
    </row>
    <row r="1114" spans="1:4" x14ac:dyDescent="0.35">
      <c r="A1114" s="264">
        <v>38089429</v>
      </c>
      <c r="B1114" s="252" t="s">
        <v>3463</v>
      </c>
      <c r="C1114" s="252"/>
      <c r="D1114" s="252"/>
    </row>
    <row r="1115" spans="1:4" x14ac:dyDescent="0.35">
      <c r="A1115" s="264">
        <v>39233090</v>
      </c>
      <c r="B1115" s="252" t="s">
        <v>3463</v>
      </c>
      <c r="C1115" s="252"/>
      <c r="D1115" s="252"/>
    </row>
    <row r="1116" spans="1:4" x14ac:dyDescent="0.35">
      <c r="A1116" s="264">
        <v>29336921</v>
      </c>
      <c r="B1116" s="252" t="s">
        <v>3463</v>
      </c>
      <c r="C1116" s="252"/>
      <c r="D1116" s="252"/>
    </row>
    <row r="1117" spans="1:4" x14ac:dyDescent="0.35">
      <c r="A1117" s="264">
        <v>28289011</v>
      </c>
      <c r="B1117" s="252" t="s">
        <v>3463</v>
      </c>
      <c r="C1117" s="252"/>
      <c r="D1117" s="252"/>
    </row>
    <row r="1118" spans="1:4" x14ac:dyDescent="0.35">
      <c r="A1118" s="264">
        <v>83099000</v>
      </c>
      <c r="B1118" s="252" t="s">
        <v>3463</v>
      </c>
      <c r="C1118" s="252"/>
      <c r="D1118" s="252"/>
    </row>
    <row r="1119" spans="1:4" x14ac:dyDescent="0.35">
      <c r="A1119" s="264">
        <v>34042010</v>
      </c>
      <c r="B1119" s="252" t="s">
        <v>3463</v>
      </c>
      <c r="C1119" s="252"/>
      <c r="D1119" s="252"/>
    </row>
    <row r="1120" spans="1:4" x14ac:dyDescent="0.35">
      <c r="A1120" s="264">
        <v>38249989</v>
      </c>
      <c r="B1120" s="252" t="s">
        <v>3463</v>
      </c>
      <c r="C1120" s="252"/>
      <c r="D1120" s="252"/>
    </row>
    <row r="1121" spans="1:4" x14ac:dyDescent="0.35">
      <c r="A1121" s="264">
        <v>39199090</v>
      </c>
      <c r="B1121" s="252" t="s">
        <v>3463</v>
      </c>
      <c r="C1121" s="252"/>
      <c r="D1121" s="252"/>
    </row>
    <row r="1122" spans="1:4" x14ac:dyDescent="0.35">
      <c r="A1122" s="264">
        <v>29053100</v>
      </c>
      <c r="B1122" s="252" t="s">
        <v>3463</v>
      </c>
      <c r="C1122" s="252"/>
      <c r="D1122" s="252"/>
    </row>
    <row r="1123" spans="1:4" x14ac:dyDescent="0.35">
      <c r="A1123" s="264">
        <v>34049019</v>
      </c>
      <c r="B1123" s="252" t="s">
        <v>3463</v>
      </c>
      <c r="C1123" s="252"/>
      <c r="D1123" s="252"/>
    </row>
    <row r="1124" spans="1:4" x14ac:dyDescent="0.35">
      <c r="A1124" s="264">
        <v>29181400</v>
      </c>
      <c r="B1124" s="252" t="s">
        <v>3463</v>
      </c>
      <c r="C1124" s="252"/>
      <c r="D1124" s="252"/>
    </row>
    <row r="1125" spans="1:4" x14ac:dyDescent="0.35">
      <c r="A1125" s="264">
        <v>25010011</v>
      </c>
      <c r="B1125" s="252" t="s">
        <v>3463</v>
      </c>
      <c r="C1125" s="252"/>
      <c r="D1125" s="252"/>
    </row>
    <row r="1126" spans="1:4" x14ac:dyDescent="0.35">
      <c r="A1126" s="264">
        <v>28331110</v>
      </c>
      <c r="B1126" s="252" t="s">
        <v>3463</v>
      </c>
      <c r="C1126" s="252"/>
      <c r="D1126" s="252"/>
    </row>
    <row r="1127" spans="1:4" x14ac:dyDescent="0.35">
      <c r="A1127" s="264">
        <v>44152000</v>
      </c>
      <c r="B1127" s="252" t="s">
        <v>3463</v>
      </c>
      <c r="C1127" s="252"/>
      <c r="D1127" s="252"/>
    </row>
    <row r="1128" spans="1:4" x14ac:dyDescent="0.35">
      <c r="A1128" s="264">
        <v>29126000</v>
      </c>
      <c r="B1128" s="252" t="s">
        <v>3463</v>
      </c>
      <c r="C1128" s="252"/>
      <c r="D1128" s="252"/>
    </row>
    <row r="1129" spans="1:4" x14ac:dyDescent="0.35">
      <c r="A1129" s="264">
        <v>38237010</v>
      </c>
      <c r="B1129" s="252" t="s">
        <v>3463</v>
      </c>
      <c r="C1129" s="252"/>
      <c r="D1129" s="252"/>
    </row>
    <row r="1130" spans="1:4" x14ac:dyDescent="0.35">
      <c r="A1130" s="264">
        <v>15153000</v>
      </c>
      <c r="B1130" s="252" t="s">
        <v>3463</v>
      </c>
      <c r="C1130" s="252"/>
      <c r="D1130" s="252"/>
    </row>
    <row r="1131" spans="1:4" x14ac:dyDescent="0.35">
      <c r="A1131" s="264">
        <v>28151200</v>
      </c>
      <c r="B1131" s="252" t="s">
        <v>3463</v>
      </c>
      <c r="C1131" s="252"/>
      <c r="D1131" s="252"/>
    </row>
    <row r="1132" spans="1:4" x14ac:dyDescent="0.35">
      <c r="A1132" s="264">
        <v>34023100</v>
      </c>
      <c r="B1132" s="252" t="s">
        <v>3463</v>
      </c>
      <c r="C1132" s="252"/>
      <c r="D1132" s="252"/>
    </row>
    <row r="1133" spans="1:4" x14ac:dyDescent="0.35">
      <c r="A1133" s="264">
        <v>28100010</v>
      </c>
      <c r="B1133" s="252" t="s">
        <v>3463</v>
      </c>
      <c r="C1133" s="252"/>
      <c r="D1133" s="252"/>
    </row>
    <row r="1134" spans="1:4" x14ac:dyDescent="0.35">
      <c r="A1134" s="264">
        <v>39235000</v>
      </c>
      <c r="B1134" s="252" t="s">
        <v>3463</v>
      </c>
      <c r="C1134" s="252"/>
      <c r="D1134" s="252"/>
    </row>
    <row r="1135" spans="1:4" x14ac:dyDescent="0.35">
      <c r="A1135" s="264">
        <v>39232190</v>
      </c>
      <c r="B1135" s="252" t="s">
        <v>3463</v>
      </c>
      <c r="C1135" s="252"/>
      <c r="D1135" s="252"/>
    </row>
    <row r="1136" spans="1:4" x14ac:dyDescent="0.35">
      <c r="A1136" s="264">
        <v>38237020</v>
      </c>
      <c r="B1136" s="252" t="s">
        <v>3463</v>
      </c>
      <c r="C1136" s="252"/>
      <c r="D1136" s="252"/>
    </row>
    <row r="1137" spans="1:4" x14ac:dyDescent="0.35">
      <c r="A1137" s="264">
        <v>29101000</v>
      </c>
      <c r="B1137" s="252" t="s">
        <v>3463</v>
      </c>
      <c r="C1137" s="252"/>
      <c r="D1137" s="252"/>
    </row>
    <row r="1138" spans="1:4" x14ac:dyDescent="0.35">
      <c r="A1138" s="264">
        <v>34029011</v>
      </c>
      <c r="B1138" s="252" t="s">
        <v>3463</v>
      </c>
      <c r="C1138" s="252"/>
      <c r="D1138" s="252"/>
    </row>
    <row r="1139" spans="1:4" x14ac:dyDescent="0.35">
      <c r="A1139" s="264">
        <v>29221100</v>
      </c>
      <c r="B1139" s="252" t="s">
        <v>3464</v>
      </c>
      <c r="C1139" s="252"/>
      <c r="D1139" s="252"/>
    </row>
    <row r="1140" spans="1:4" x14ac:dyDescent="0.35">
      <c r="A1140" s="264">
        <v>34023990</v>
      </c>
      <c r="B1140" s="252" t="s">
        <v>3465</v>
      </c>
      <c r="C1140" s="252"/>
      <c r="D1140" s="252"/>
    </row>
    <row r="1141" spans="1:4" x14ac:dyDescent="0.35">
      <c r="A1141" s="264">
        <v>34029029</v>
      </c>
      <c r="B1141" s="252" t="s">
        <v>3465</v>
      </c>
      <c r="C1141" s="252"/>
      <c r="D1141" s="252"/>
    </row>
    <row r="1142" spans="1:4" x14ac:dyDescent="0.35">
      <c r="A1142" s="264">
        <v>38249929</v>
      </c>
      <c r="B1142" s="252" t="s">
        <v>3465</v>
      </c>
      <c r="C1142" s="252"/>
      <c r="D1142" s="252"/>
    </row>
    <row r="1143" spans="1:4" x14ac:dyDescent="0.35">
      <c r="A1143" s="264">
        <v>34024200</v>
      </c>
      <c r="B1143" s="252" t="s">
        <v>3465</v>
      </c>
      <c r="C1143" s="252"/>
      <c r="D1143" s="252"/>
    </row>
    <row r="1144" spans="1:4" x14ac:dyDescent="0.35">
      <c r="A1144" s="264">
        <v>39072939</v>
      </c>
      <c r="B1144" s="252" t="s">
        <v>3465</v>
      </c>
      <c r="C1144" s="252"/>
      <c r="D1144" s="252"/>
    </row>
    <row r="1145" spans="1:4" x14ac:dyDescent="0.35">
      <c r="A1145" s="264">
        <v>39119029</v>
      </c>
      <c r="B1145" s="252" t="s">
        <v>3465</v>
      </c>
      <c r="C1145" s="252"/>
      <c r="D1145" s="252"/>
    </row>
    <row r="1146" spans="1:4" x14ac:dyDescent="0.35">
      <c r="A1146" s="264">
        <v>29053100</v>
      </c>
      <c r="B1146" s="252" t="s">
        <v>3465</v>
      </c>
      <c r="C1146" s="252"/>
      <c r="D1146" s="252"/>
    </row>
    <row r="1147" spans="1:4" x14ac:dyDescent="0.35">
      <c r="A1147" s="264">
        <v>29221500</v>
      </c>
      <c r="B1147" s="252" t="s">
        <v>3465</v>
      </c>
      <c r="C1147" s="252"/>
      <c r="D1147" s="252"/>
    </row>
    <row r="1148" spans="1:4" x14ac:dyDescent="0.35">
      <c r="A1148" s="264">
        <v>27101991</v>
      </c>
      <c r="B1148" s="252" t="s">
        <v>3465</v>
      </c>
      <c r="C1148" s="252"/>
      <c r="D1148" s="252"/>
    </row>
    <row r="1149" spans="1:4" x14ac:dyDescent="0.35">
      <c r="A1149" s="264">
        <v>39072931</v>
      </c>
      <c r="B1149" s="252" t="s">
        <v>3465</v>
      </c>
      <c r="C1149" s="252"/>
      <c r="D1149" s="252"/>
    </row>
    <row r="1150" spans="1:4" x14ac:dyDescent="0.35">
      <c r="A1150" s="264">
        <v>38249989</v>
      </c>
      <c r="B1150" s="252" t="s">
        <v>3465</v>
      </c>
      <c r="C1150" s="252"/>
      <c r="D1150" s="252"/>
    </row>
    <row r="1151" spans="1:4" x14ac:dyDescent="0.35">
      <c r="A1151" s="264">
        <v>29221100</v>
      </c>
      <c r="B1151" s="252" t="s">
        <v>3465</v>
      </c>
      <c r="C1151" s="252"/>
      <c r="D1151" s="252"/>
    </row>
    <row r="1152" spans="1:4" x14ac:dyDescent="0.35">
      <c r="A1152" s="264">
        <v>39069039</v>
      </c>
      <c r="B1152" s="252" t="s">
        <v>3465</v>
      </c>
      <c r="C1152" s="252"/>
      <c r="D1152" s="252"/>
    </row>
    <row r="1153" spans="1:4" x14ac:dyDescent="0.35">
      <c r="A1153" s="264">
        <v>29094310</v>
      </c>
      <c r="B1153" s="252" t="s">
        <v>3465</v>
      </c>
      <c r="C1153" s="252"/>
      <c r="D1153" s="252"/>
    </row>
    <row r="1154" spans="1:4" x14ac:dyDescent="0.35">
      <c r="A1154" s="264">
        <v>29054500</v>
      </c>
      <c r="B1154" s="252" t="s">
        <v>3465</v>
      </c>
      <c r="C1154" s="252"/>
      <c r="D1154" s="252"/>
    </row>
    <row r="1155" spans="1:4" x14ac:dyDescent="0.35">
      <c r="A1155" s="264">
        <v>29094421</v>
      </c>
      <c r="B1155" s="252" t="s">
        <v>3465</v>
      </c>
      <c r="C1155" s="252"/>
      <c r="D1155" s="252"/>
    </row>
    <row r="1156" spans="1:4" x14ac:dyDescent="0.35">
      <c r="A1156" s="264">
        <v>34029011</v>
      </c>
      <c r="B1156" s="252" t="s">
        <v>3465</v>
      </c>
      <c r="C1156" s="252"/>
      <c r="D1156" s="252"/>
    </row>
    <row r="1157" spans="1:4" x14ac:dyDescent="0.35">
      <c r="A1157" s="264">
        <v>34023100</v>
      </c>
      <c r="B1157" s="252" t="s">
        <v>3465</v>
      </c>
      <c r="C1157" s="252"/>
      <c r="D1157" s="252"/>
    </row>
    <row r="1158" spans="1:4" x14ac:dyDescent="0.35">
      <c r="A1158" s="264">
        <v>39069011</v>
      </c>
      <c r="B1158" s="252" t="s">
        <v>3465</v>
      </c>
      <c r="C1158" s="252"/>
      <c r="D1158" s="252"/>
    </row>
    <row r="1159" spans="1:4" x14ac:dyDescent="0.35">
      <c r="A1159" s="264">
        <v>15180010</v>
      </c>
      <c r="B1159" s="252" t="s">
        <v>3465</v>
      </c>
      <c r="C1159" s="252"/>
      <c r="D1159" s="252"/>
    </row>
    <row r="1160" spans="1:4" x14ac:dyDescent="0.35">
      <c r="A1160" s="264">
        <v>34024900</v>
      </c>
      <c r="B1160" s="252" t="s">
        <v>3465</v>
      </c>
      <c r="C1160" s="252"/>
      <c r="D1160" s="252"/>
    </row>
    <row r="1161" spans="1:4" x14ac:dyDescent="0.35">
      <c r="A1161" s="264">
        <v>29094100</v>
      </c>
      <c r="B1161" s="252" t="s">
        <v>3465</v>
      </c>
      <c r="C1161" s="252"/>
      <c r="D1161" s="252"/>
    </row>
    <row r="1162" spans="1:4" x14ac:dyDescent="0.35">
      <c r="A1162" s="264">
        <v>29094320</v>
      </c>
      <c r="B1162" s="252" t="s">
        <v>3465</v>
      </c>
      <c r="C1162" s="252"/>
      <c r="D1162" s="252"/>
    </row>
    <row r="1163" spans="1:4" x14ac:dyDescent="0.35">
      <c r="A1163" s="264">
        <v>29221200</v>
      </c>
      <c r="B1163" s="252" t="s">
        <v>3465</v>
      </c>
      <c r="C1163" s="252"/>
      <c r="D1163" s="252"/>
    </row>
    <row r="1164" spans="1:4" x14ac:dyDescent="0.35">
      <c r="A1164" s="264">
        <v>34042010</v>
      </c>
      <c r="B1164" s="252" t="s">
        <v>3465</v>
      </c>
      <c r="C1164" s="252"/>
      <c r="D1164" s="252"/>
    </row>
    <row r="1165" spans="1:4" x14ac:dyDescent="0.35">
      <c r="A1165" s="264">
        <v>39069069</v>
      </c>
      <c r="B1165" s="252" t="s">
        <v>3465</v>
      </c>
      <c r="C1165" s="252"/>
      <c r="D1165" s="252"/>
    </row>
  </sheetData>
  <mergeCells count="2">
    <mergeCell ref="A1:D1"/>
    <mergeCell ref="A2:D2"/>
  </mergeCells>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0810-A177-4663-B3E2-31BF0E59359A}">
  <dimension ref="A1:F1722"/>
  <sheetViews>
    <sheetView zoomScale="80" zoomScaleNormal="80" workbookViewId="0">
      <selection activeCell="D11" sqref="D11"/>
    </sheetView>
  </sheetViews>
  <sheetFormatPr defaultColWidth="9.453125" defaultRowHeight="14.5" x14ac:dyDescent="0.35"/>
  <cols>
    <col min="1" max="1" width="6.453125" style="216" bestFit="1" customWidth="1"/>
    <col min="2" max="2" width="47.6328125" style="216" customWidth="1"/>
    <col min="3" max="3" width="33.54296875" style="216" bestFit="1" customWidth="1"/>
    <col min="4" max="4" width="33.54296875" style="216" customWidth="1"/>
    <col min="5" max="5" width="43.08984375" style="216" bestFit="1" customWidth="1"/>
    <col min="6" max="6" width="44.08984375" style="216" bestFit="1" customWidth="1"/>
    <col min="7" max="16384" width="9.453125" style="216"/>
  </cols>
  <sheetData>
    <row r="1" spans="1:6" s="78" customFormat="1" ht="80.150000000000006" customHeight="1" x14ac:dyDescent="0.35">
      <c r="A1" s="271" t="s">
        <v>36</v>
      </c>
      <c r="B1" s="271"/>
      <c r="C1" s="271"/>
      <c r="D1" s="271"/>
      <c r="E1" s="271"/>
      <c r="F1" s="271"/>
    </row>
    <row r="2" spans="1:6" s="78" customFormat="1" ht="20.149999999999999" customHeight="1" x14ac:dyDescent="0.35">
      <c r="A2" s="272" t="s">
        <v>147</v>
      </c>
      <c r="B2" s="272"/>
      <c r="C2" s="272"/>
      <c r="D2" s="272"/>
      <c r="E2" s="272"/>
      <c r="F2" s="272"/>
    </row>
    <row r="3" spans="1:6" ht="15.5" x14ac:dyDescent="0.35">
      <c r="A3" s="253" t="s">
        <v>106</v>
      </c>
      <c r="B3" s="253" t="s">
        <v>3466</v>
      </c>
      <c r="C3" s="253" t="s">
        <v>3502</v>
      </c>
      <c r="D3" s="253" t="s">
        <v>3503</v>
      </c>
      <c r="E3" s="253" t="s">
        <v>148</v>
      </c>
      <c r="F3" s="253" t="s">
        <v>149</v>
      </c>
    </row>
    <row r="4" spans="1:6" x14ac:dyDescent="0.35">
      <c r="A4" s="263" t="s">
        <v>964</v>
      </c>
      <c r="B4" s="263" t="s">
        <v>1008</v>
      </c>
      <c r="C4" s="263">
        <v>1602</v>
      </c>
      <c r="D4" s="263" t="s">
        <v>1144</v>
      </c>
      <c r="E4" s="263">
        <v>812</v>
      </c>
      <c r="F4" s="252">
        <v>0</v>
      </c>
    </row>
    <row r="5" spans="1:6" x14ac:dyDescent="0.35">
      <c r="A5" s="263" t="s">
        <v>964</v>
      </c>
      <c r="B5" s="263" t="s">
        <v>1011</v>
      </c>
      <c r="C5" s="263">
        <v>2001</v>
      </c>
      <c r="D5" s="263" t="s">
        <v>1111</v>
      </c>
      <c r="E5" s="263">
        <v>725</v>
      </c>
      <c r="F5" s="252">
        <v>0</v>
      </c>
    </row>
    <row r="6" spans="1:6" x14ac:dyDescent="0.35">
      <c r="A6" s="263" t="s">
        <v>963</v>
      </c>
      <c r="B6" s="263" t="s">
        <v>1003</v>
      </c>
      <c r="C6" s="263" t="s">
        <v>1111</v>
      </c>
      <c r="D6" s="263" t="s">
        <v>1111</v>
      </c>
      <c r="E6" s="263">
        <v>554</v>
      </c>
      <c r="F6" s="252">
        <v>0</v>
      </c>
    </row>
    <row r="7" spans="1:6" x14ac:dyDescent="0.35">
      <c r="A7" s="263" t="s">
        <v>964</v>
      </c>
      <c r="B7" s="263" t="s">
        <v>973</v>
      </c>
      <c r="C7" s="263">
        <v>1602</v>
      </c>
      <c r="D7" s="263" t="s">
        <v>1144</v>
      </c>
      <c r="E7" s="263">
        <v>496</v>
      </c>
      <c r="F7" s="252">
        <v>0</v>
      </c>
    </row>
    <row r="8" spans="1:6" x14ac:dyDescent="0.35">
      <c r="A8" s="263" t="s">
        <v>964</v>
      </c>
      <c r="B8" s="263" t="s">
        <v>1006</v>
      </c>
      <c r="C8" s="263" t="s">
        <v>1189</v>
      </c>
      <c r="D8" s="263" t="s">
        <v>1189</v>
      </c>
      <c r="E8" s="263">
        <v>419</v>
      </c>
      <c r="F8" s="252">
        <v>0</v>
      </c>
    </row>
    <row r="9" spans="1:6" x14ac:dyDescent="0.35">
      <c r="A9" s="263" t="s">
        <v>964</v>
      </c>
      <c r="B9" s="263" t="s">
        <v>1011</v>
      </c>
      <c r="C9" s="263" t="s">
        <v>1111</v>
      </c>
      <c r="D9" s="263" t="s">
        <v>1111</v>
      </c>
      <c r="E9" s="263">
        <v>403</v>
      </c>
      <c r="F9" s="252">
        <v>0</v>
      </c>
    </row>
    <row r="10" spans="1:6" x14ac:dyDescent="0.35">
      <c r="A10" s="263" t="s">
        <v>963</v>
      </c>
      <c r="B10" s="263" t="s">
        <v>995</v>
      </c>
      <c r="C10" s="263">
        <v>1602</v>
      </c>
      <c r="D10" s="263" t="s">
        <v>1144</v>
      </c>
      <c r="E10" s="263">
        <v>377</v>
      </c>
      <c r="F10" s="252">
        <v>0</v>
      </c>
    </row>
    <row r="11" spans="1:6" x14ac:dyDescent="0.35">
      <c r="A11" s="263" t="s">
        <v>964</v>
      </c>
      <c r="B11" s="263" t="s">
        <v>1011</v>
      </c>
      <c r="C11" s="263" t="s">
        <v>3504</v>
      </c>
      <c r="D11" s="263" t="s">
        <v>1200</v>
      </c>
      <c r="E11" s="263">
        <v>326</v>
      </c>
      <c r="F11" s="252">
        <v>0</v>
      </c>
    </row>
    <row r="12" spans="1:6" x14ac:dyDescent="0.35">
      <c r="A12" s="263" t="s">
        <v>964</v>
      </c>
      <c r="B12" s="263" t="s">
        <v>1011</v>
      </c>
      <c r="C12" s="263" t="s">
        <v>1128</v>
      </c>
      <c r="D12" s="263" t="s">
        <v>1128</v>
      </c>
      <c r="E12" s="263">
        <v>326</v>
      </c>
      <c r="F12" s="252">
        <v>0</v>
      </c>
    </row>
    <row r="13" spans="1:6" x14ac:dyDescent="0.35">
      <c r="A13" s="263" t="s">
        <v>963</v>
      </c>
      <c r="B13" s="263" t="s">
        <v>995</v>
      </c>
      <c r="C13" s="263">
        <v>1401</v>
      </c>
      <c r="D13" s="263" t="s">
        <v>1163</v>
      </c>
      <c r="E13" s="263">
        <v>309</v>
      </c>
      <c r="F13" s="252">
        <v>0</v>
      </c>
    </row>
    <row r="14" spans="1:6" x14ac:dyDescent="0.35">
      <c r="A14" s="263" t="s">
        <v>963</v>
      </c>
      <c r="B14" s="263" t="s">
        <v>1003</v>
      </c>
      <c r="C14" s="263" t="s">
        <v>1128</v>
      </c>
      <c r="D14" s="263" t="s">
        <v>1128</v>
      </c>
      <c r="E14" s="263">
        <v>261</v>
      </c>
      <c r="F14" s="252">
        <v>0</v>
      </c>
    </row>
    <row r="15" spans="1:6" x14ac:dyDescent="0.35">
      <c r="A15" s="263" t="s">
        <v>964</v>
      </c>
      <c r="B15" s="263" t="s">
        <v>1009</v>
      </c>
      <c r="C15" s="263" t="s">
        <v>1215</v>
      </c>
      <c r="D15" s="263" t="s">
        <v>1215</v>
      </c>
      <c r="E15" s="263">
        <v>260</v>
      </c>
      <c r="F15" s="252">
        <v>0</v>
      </c>
    </row>
    <row r="16" spans="1:6" x14ac:dyDescent="0.35">
      <c r="A16" s="263" t="s">
        <v>964</v>
      </c>
      <c r="B16" s="263" t="s">
        <v>1009</v>
      </c>
      <c r="C16" s="263">
        <v>702</v>
      </c>
      <c r="D16" s="263" t="s">
        <v>1215</v>
      </c>
      <c r="E16" s="263">
        <v>245</v>
      </c>
      <c r="F16" s="252">
        <v>0</v>
      </c>
    </row>
    <row r="17" spans="1:6" x14ac:dyDescent="0.35">
      <c r="A17" s="263" t="s">
        <v>963</v>
      </c>
      <c r="B17" s="263" t="s">
        <v>1003</v>
      </c>
      <c r="C17" s="263">
        <v>3301</v>
      </c>
      <c r="D17" s="263" t="s">
        <v>1128</v>
      </c>
      <c r="E17" s="263">
        <v>240</v>
      </c>
      <c r="F17" s="252">
        <v>0</v>
      </c>
    </row>
    <row r="18" spans="1:6" x14ac:dyDescent="0.35">
      <c r="A18" s="263" t="s">
        <v>964</v>
      </c>
      <c r="B18" s="263" t="s">
        <v>1009</v>
      </c>
      <c r="C18" s="263">
        <v>2692</v>
      </c>
      <c r="D18" s="263" t="s">
        <v>1212</v>
      </c>
      <c r="E18" s="263">
        <v>239</v>
      </c>
      <c r="F18" s="252">
        <v>0</v>
      </c>
    </row>
    <row r="19" spans="1:6" x14ac:dyDescent="0.35">
      <c r="A19" s="263" t="s">
        <v>964</v>
      </c>
      <c r="B19" s="263" t="s">
        <v>1009</v>
      </c>
      <c r="C19" s="263">
        <v>2919</v>
      </c>
      <c r="D19" s="263" t="s">
        <v>1162</v>
      </c>
      <c r="E19" s="263">
        <v>166</v>
      </c>
      <c r="F19" s="252">
        <v>0</v>
      </c>
    </row>
    <row r="20" spans="1:6" x14ac:dyDescent="0.35">
      <c r="A20" s="263" t="s">
        <v>964</v>
      </c>
      <c r="B20" s="263" t="s">
        <v>1011</v>
      </c>
      <c r="C20" s="263" t="s">
        <v>1167</v>
      </c>
      <c r="D20" s="263" t="s">
        <v>1167</v>
      </c>
      <c r="E20" s="263">
        <v>163</v>
      </c>
      <c r="F20" s="252">
        <v>0</v>
      </c>
    </row>
    <row r="21" spans="1:6" x14ac:dyDescent="0.35">
      <c r="A21" s="263" t="s">
        <v>963</v>
      </c>
      <c r="B21" s="263" t="s">
        <v>1043</v>
      </c>
      <c r="C21" s="263" t="s">
        <v>1167</v>
      </c>
      <c r="D21" s="263" t="s">
        <v>1167</v>
      </c>
      <c r="E21" s="263">
        <v>162</v>
      </c>
      <c r="F21" s="252">
        <v>0</v>
      </c>
    </row>
    <row r="22" spans="1:6" x14ac:dyDescent="0.35">
      <c r="A22" s="263" t="s">
        <v>964</v>
      </c>
      <c r="B22" s="263" t="s">
        <v>1034</v>
      </c>
      <c r="C22" s="263" t="s">
        <v>1144</v>
      </c>
      <c r="D22" s="263" t="s">
        <v>1144</v>
      </c>
      <c r="E22" s="263">
        <v>162</v>
      </c>
      <c r="F22" s="252">
        <v>0</v>
      </c>
    </row>
    <row r="23" spans="1:6" x14ac:dyDescent="0.35">
      <c r="A23" s="263" t="s">
        <v>964</v>
      </c>
      <c r="B23" s="263" t="s">
        <v>1009</v>
      </c>
      <c r="C23" s="263">
        <v>2660</v>
      </c>
      <c r="D23" s="263" t="s">
        <v>1204</v>
      </c>
      <c r="E23" s="263">
        <v>156</v>
      </c>
      <c r="F23" s="252">
        <v>0</v>
      </c>
    </row>
    <row r="24" spans="1:6" x14ac:dyDescent="0.35">
      <c r="A24" s="263" t="s">
        <v>964</v>
      </c>
      <c r="B24" s="263" t="s">
        <v>1009</v>
      </c>
      <c r="C24" s="263">
        <v>3980</v>
      </c>
      <c r="D24" s="263" t="s">
        <v>981</v>
      </c>
      <c r="E24" s="263">
        <v>156</v>
      </c>
      <c r="F24" s="252">
        <v>0</v>
      </c>
    </row>
    <row r="25" spans="1:6" x14ac:dyDescent="0.35">
      <c r="A25" s="263" t="s">
        <v>964</v>
      </c>
      <c r="B25" s="263" t="s">
        <v>1009</v>
      </c>
      <c r="C25" s="263" t="s">
        <v>981</v>
      </c>
      <c r="D25" s="263" t="s">
        <v>981</v>
      </c>
      <c r="E25" s="263">
        <v>154</v>
      </c>
      <c r="F25" s="252">
        <v>0</v>
      </c>
    </row>
    <row r="26" spans="1:6" x14ac:dyDescent="0.35">
      <c r="A26" s="263" t="s">
        <v>964</v>
      </c>
      <c r="B26" s="263" t="s">
        <v>1031</v>
      </c>
      <c r="C26" s="263">
        <v>2001</v>
      </c>
      <c r="D26" s="263" t="s">
        <v>1111</v>
      </c>
      <c r="E26" s="263">
        <v>145</v>
      </c>
      <c r="F26" s="252">
        <v>0</v>
      </c>
    </row>
    <row r="27" spans="1:6" x14ac:dyDescent="0.35">
      <c r="A27" s="263" t="s">
        <v>964</v>
      </c>
      <c r="B27" s="263" t="s">
        <v>1009</v>
      </c>
      <c r="C27" s="263">
        <v>6530</v>
      </c>
      <c r="D27" s="263" t="s">
        <v>1117</v>
      </c>
      <c r="E27" s="263">
        <v>144</v>
      </c>
      <c r="F27" s="252">
        <v>0</v>
      </c>
    </row>
    <row r="28" spans="1:6" x14ac:dyDescent="0.35">
      <c r="A28" s="263" t="s">
        <v>963</v>
      </c>
      <c r="B28" s="263" t="s">
        <v>1070</v>
      </c>
      <c r="C28" s="263">
        <v>1401</v>
      </c>
      <c r="D28" s="263" t="s">
        <v>1163</v>
      </c>
      <c r="E28" s="263">
        <v>142</v>
      </c>
      <c r="F28" s="252">
        <v>0</v>
      </c>
    </row>
    <row r="29" spans="1:6" x14ac:dyDescent="0.35">
      <c r="A29" s="263" t="s">
        <v>963</v>
      </c>
      <c r="B29" s="263" t="s">
        <v>995</v>
      </c>
      <c r="C29" s="263">
        <v>702</v>
      </c>
      <c r="D29" s="263" t="s">
        <v>1215</v>
      </c>
      <c r="E29" s="263">
        <v>138</v>
      </c>
      <c r="F29" s="252">
        <v>0</v>
      </c>
    </row>
    <row r="30" spans="1:6" x14ac:dyDescent="0.35">
      <c r="A30" s="263" t="s">
        <v>964</v>
      </c>
      <c r="B30" s="263" t="s">
        <v>1009</v>
      </c>
      <c r="C30" s="263">
        <v>2881</v>
      </c>
      <c r="D30" s="263" t="s">
        <v>1181</v>
      </c>
      <c r="E30" s="263">
        <v>133</v>
      </c>
      <c r="F30" s="252">
        <v>0</v>
      </c>
    </row>
    <row r="31" spans="1:6" x14ac:dyDescent="0.35">
      <c r="A31" s="263" t="s">
        <v>963</v>
      </c>
      <c r="B31" s="263" t="s">
        <v>1003</v>
      </c>
      <c r="C31" s="263">
        <v>1401</v>
      </c>
      <c r="D31" s="263" t="s">
        <v>1163</v>
      </c>
      <c r="E31" s="263">
        <v>131</v>
      </c>
      <c r="F31" s="252">
        <v>0</v>
      </c>
    </row>
    <row r="32" spans="1:6" x14ac:dyDescent="0.35">
      <c r="A32" s="263" t="s">
        <v>964</v>
      </c>
      <c r="B32" s="263" t="s">
        <v>1011</v>
      </c>
      <c r="C32" s="263">
        <v>1104</v>
      </c>
      <c r="D32" s="263" t="s">
        <v>1200</v>
      </c>
      <c r="E32" s="263">
        <v>129</v>
      </c>
      <c r="F32" s="252">
        <v>0</v>
      </c>
    </row>
    <row r="33" spans="1:6" x14ac:dyDescent="0.35">
      <c r="A33" s="263" t="s">
        <v>964</v>
      </c>
      <c r="B33" s="263" t="s">
        <v>1009</v>
      </c>
      <c r="C33" s="263" t="s">
        <v>1210</v>
      </c>
      <c r="D33" s="263" t="s">
        <v>1163</v>
      </c>
      <c r="E33" s="263">
        <v>126</v>
      </c>
      <c r="F33" s="252">
        <v>0</v>
      </c>
    </row>
    <row r="34" spans="1:6" x14ac:dyDescent="0.35">
      <c r="A34" s="263" t="s">
        <v>964</v>
      </c>
      <c r="B34" s="263" t="s">
        <v>1009</v>
      </c>
      <c r="C34" s="263">
        <v>6491</v>
      </c>
      <c r="D34" s="263" t="s">
        <v>1189</v>
      </c>
      <c r="E34" s="263">
        <v>124</v>
      </c>
      <c r="F34" s="252">
        <v>0</v>
      </c>
    </row>
    <row r="35" spans="1:6" x14ac:dyDescent="0.35">
      <c r="A35" s="263" t="s">
        <v>964</v>
      </c>
      <c r="B35" s="263" t="s">
        <v>1009</v>
      </c>
      <c r="C35" s="263" t="s">
        <v>1189</v>
      </c>
      <c r="D35" s="263" t="s">
        <v>1189</v>
      </c>
      <c r="E35" s="263">
        <v>117</v>
      </c>
      <c r="F35" s="252">
        <v>0</v>
      </c>
    </row>
    <row r="36" spans="1:6" x14ac:dyDescent="0.35">
      <c r="A36" s="263" t="s">
        <v>964</v>
      </c>
      <c r="B36" s="263" t="s">
        <v>1009</v>
      </c>
      <c r="C36" s="263">
        <v>1401</v>
      </c>
      <c r="D36" s="263" t="s">
        <v>1163</v>
      </c>
      <c r="E36" s="263">
        <v>116</v>
      </c>
      <c r="F36" s="252">
        <v>0</v>
      </c>
    </row>
    <row r="37" spans="1:6" x14ac:dyDescent="0.35">
      <c r="A37" s="263" t="s">
        <v>963</v>
      </c>
      <c r="B37" s="263" t="s">
        <v>1043</v>
      </c>
      <c r="C37" s="263" t="s">
        <v>1200</v>
      </c>
      <c r="D37" s="263" t="s">
        <v>1200</v>
      </c>
      <c r="E37" s="263">
        <v>111</v>
      </c>
      <c r="F37" s="252">
        <v>0</v>
      </c>
    </row>
    <row r="38" spans="1:6" x14ac:dyDescent="0.35">
      <c r="A38" s="263" t="s">
        <v>964</v>
      </c>
      <c r="B38" s="263" t="s">
        <v>1008</v>
      </c>
      <c r="C38" s="263">
        <v>1401</v>
      </c>
      <c r="D38" s="263" t="s">
        <v>1163</v>
      </c>
      <c r="E38" s="263">
        <v>110</v>
      </c>
      <c r="F38" s="252">
        <v>0</v>
      </c>
    </row>
    <row r="39" spans="1:6" x14ac:dyDescent="0.35">
      <c r="A39" s="263" t="s">
        <v>964</v>
      </c>
      <c r="B39" s="263" t="s">
        <v>1009</v>
      </c>
      <c r="C39" s="263">
        <v>2800</v>
      </c>
      <c r="D39" s="263" t="s">
        <v>1139</v>
      </c>
      <c r="E39" s="263">
        <v>107</v>
      </c>
      <c r="F39" s="252">
        <v>0</v>
      </c>
    </row>
    <row r="40" spans="1:6" x14ac:dyDescent="0.35">
      <c r="A40" s="263" t="s">
        <v>964</v>
      </c>
      <c r="B40" s="263" t="s">
        <v>1009</v>
      </c>
      <c r="C40" s="263" t="s">
        <v>1119</v>
      </c>
      <c r="D40" s="263" t="s">
        <v>1119</v>
      </c>
      <c r="E40" s="263">
        <v>105</v>
      </c>
      <c r="F40" s="252">
        <v>0</v>
      </c>
    </row>
    <row r="41" spans="1:6" x14ac:dyDescent="0.35">
      <c r="A41" s="263" t="s">
        <v>964</v>
      </c>
      <c r="B41" s="263" t="s">
        <v>1009</v>
      </c>
      <c r="C41" s="263" t="s">
        <v>1126</v>
      </c>
      <c r="D41" s="263" t="s">
        <v>1126</v>
      </c>
      <c r="E41" s="263">
        <v>102</v>
      </c>
      <c r="F41" s="252">
        <v>0</v>
      </c>
    </row>
    <row r="42" spans="1:6" x14ac:dyDescent="0.35">
      <c r="A42" s="263" t="s">
        <v>963</v>
      </c>
      <c r="B42" s="263" t="s">
        <v>995</v>
      </c>
      <c r="C42" s="263">
        <v>710</v>
      </c>
      <c r="D42" s="263" t="s">
        <v>3505</v>
      </c>
      <c r="E42" s="263">
        <v>100</v>
      </c>
      <c r="F42" s="252">
        <v>0</v>
      </c>
    </row>
    <row r="43" spans="1:6" x14ac:dyDescent="0.35">
      <c r="A43" s="263" t="s">
        <v>3506</v>
      </c>
      <c r="B43" s="263" t="s">
        <v>3469</v>
      </c>
      <c r="C43" s="263">
        <v>702</v>
      </c>
      <c r="D43" s="263" t="s">
        <v>1215</v>
      </c>
      <c r="E43" s="263">
        <v>98</v>
      </c>
      <c r="F43" s="252">
        <v>0</v>
      </c>
    </row>
    <row r="44" spans="1:6" x14ac:dyDescent="0.35">
      <c r="A44" s="263" t="s">
        <v>963</v>
      </c>
      <c r="B44" s="263" t="s">
        <v>1070</v>
      </c>
      <c r="C44" s="263">
        <v>1602</v>
      </c>
      <c r="D44" s="263" t="s">
        <v>1144</v>
      </c>
      <c r="E44" s="263">
        <v>96</v>
      </c>
      <c r="F44" s="252">
        <v>0</v>
      </c>
    </row>
    <row r="45" spans="1:6" x14ac:dyDescent="0.35">
      <c r="A45" s="263" t="s">
        <v>964</v>
      </c>
      <c r="B45" s="263" t="s">
        <v>1011</v>
      </c>
      <c r="C45" s="263">
        <v>3301</v>
      </c>
      <c r="D45" s="263" t="s">
        <v>1128</v>
      </c>
      <c r="E45" s="263">
        <v>94</v>
      </c>
      <c r="F45" s="252">
        <v>0</v>
      </c>
    </row>
    <row r="46" spans="1:6" x14ac:dyDescent="0.35">
      <c r="A46" s="263" t="s">
        <v>964</v>
      </c>
      <c r="B46" s="263" t="s">
        <v>1009</v>
      </c>
      <c r="C46" s="263">
        <v>6817</v>
      </c>
      <c r="D46" s="263" t="s">
        <v>1151</v>
      </c>
      <c r="E46" s="263">
        <v>93</v>
      </c>
      <c r="F46" s="252">
        <v>0</v>
      </c>
    </row>
    <row r="47" spans="1:6" x14ac:dyDescent="0.35">
      <c r="A47" s="263" t="s">
        <v>964</v>
      </c>
      <c r="B47" s="263" t="s">
        <v>1011</v>
      </c>
      <c r="C47" s="263" t="s">
        <v>1144</v>
      </c>
      <c r="D47" s="263" t="s">
        <v>1144</v>
      </c>
      <c r="E47" s="263">
        <v>92</v>
      </c>
      <c r="F47" s="252">
        <v>0</v>
      </c>
    </row>
    <row r="48" spans="1:6" x14ac:dyDescent="0.35">
      <c r="A48" s="263" t="s">
        <v>1223</v>
      </c>
      <c r="B48" s="263" t="s">
        <v>1047</v>
      </c>
      <c r="C48" s="263">
        <v>3980</v>
      </c>
      <c r="D48" s="263" t="s">
        <v>981</v>
      </c>
      <c r="E48" s="263">
        <v>91</v>
      </c>
      <c r="F48" s="252">
        <v>0</v>
      </c>
    </row>
    <row r="49" spans="1:6" x14ac:dyDescent="0.35">
      <c r="A49" s="263" t="s">
        <v>964</v>
      </c>
      <c r="B49" s="263" t="s">
        <v>1009</v>
      </c>
      <c r="C49" s="263">
        <v>2684</v>
      </c>
      <c r="D49" s="263" t="s">
        <v>1114</v>
      </c>
      <c r="E49" s="263">
        <v>91</v>
      </c>
      <c r="F49" s="252">
        <v>0</v>
      </c>
    </row>
    <row r="50" spans="1:6" x14ac:dyDescent="0.35">
      <c r="A50" s="263" t="s">
        <v>963</v>
      </c>
      <c r="B50" s="263" t="s">
        <v>1070</v>
      </c>
      <c r="C50" s="263" t="s">
        <v>1153</v>
      </c>
      <c r="D50" s="263" t="s">
        <v>1153</v>
      </c>
      <c r="E50" s="263">
        <v>90</v>
      </c>
      <c r="F50" s="252">
        <v>0</v>
      </c>
    </row>
    <row r="51" spans="1:6" x14ac:dyDescent="0.35">
      <c r="A51" s="263" t="s">
        <v>964</v>
      </c>
      <c r="B51" s="263" t="s">
        <v>1009</v>
      </c>
      <c r="C51" s="263" t="s">
        <v>1163</v>
      </c>
      <c r="D51" s="263" t="s">
        <v>1163</v>
      </c>
      <c r="E51" s="263">
        <v>88</v>
      </c>
      <c r="F51" s="252">
        <v>0</v>
      </c>
    </row>
    <row r="52" spans="1:6" x14ac:dyDescent="0.35">
      <c r="A52" s="263" t="s">
        <v>963</v>
      </c>
      <c r="B52" s="263" t="s">
        <v>1020</v>
      </c>
      <c r="C52" s="263">
        <v>1401</v>
      </c>
      <c r="D52" s="263" t="s">
        <v>1163</v>
      </c>
      <c r="E52" s="263">
        <v>86</v>
      </c>
      <c r="F52" s="252">
        <v>0</v>
      </c>
    </row>
    <row r="53" spans="1:6" x14ac:dyDescent="0.35">
      <c r="A53" s="263" t="s">
        <v>963</v>
      </c>
      <c r="B53" s="263" t="s">
        <v>995</v>
      </c>
      <c r="C53" s="263" t="s">
        <v>1175</v>
      </c>
      <c r="D53" s="263" t="s">
        <v>1175</v>
      </c>
      <c r="E53" s="263">
        <v>83</v>
      </c>
      <c r="F53" s="252">
        <v>0</v>
      </c>
    </row>
    <row r="54" spans="1:6" x14ac:dyDescent="0.35">
      <c r="A54" s="263" t="s">
        <v>963</v>
      </c>
      <c r="B54" s="263" t="s">
        <v>995</v>
      </c>
      <c r="C54" s="263" t="s">
        <v>1158</v>
      </c>
      <c r="D54" s="263" t="s">
        <v>1158</v>
      </c>
      <c r="E54" s="263">
        <v>81</v>
      </c>
      <c r="F54" s="252">
        <v>0</v>
      </c>
    </row>
    <row r="55" spans="1:6" x14ac:dyDescent="0.35">
      <c r="A55" s="263" t="s">
        <v>963</v>
      </c>
      <c r="B55" s="263" t="s">
        <v>1020</v>
      </c>
      <c r="C55" s="263">
        <v>1102</v>
      </c>
      <c r="D55" s="263" t="s">
        <v>1120</v>
      </c>
      <c r="E55" s="263">
        <v>80</v>
      </c>
      <c r="F55" s="252">
        <v>0</v>
      </c>
    </row>
    <row r="56" spans="1:6" x14ac:dyDescent="0.35">
      <c r="A56" s="263" t="s">
        <v>963</v>
      </c>
      <c r="B56" s="263" t="s">
        <v>995</v>
      </c>
      <c r="C56" s="263" t="s">
        <v>981</v>
      </c>
      <c r="D56" s="263" t="s">
        <v>981</v>
      </c>
      <c r="E56" s="263">
        <v>78</v>
      </c>
      <c r="F56" s="252">
        <v>0</v>
      </c>
    </row>
    <row r="57" spans="1:6" x14ac:dyDescent="0.35">
      <c r="A57" s="263" t="s">
        <v>3506</v>
      </c>
      <c r="B57" s="263" t="s">
        <v>1087</v>
      </c>
      <c r="C57" s="263" t="s">
        <v>1172</v>
      </c>
      <c r="D57" s="263" t="s">
        <v>1172</v>
      </c>
      <c r="E57" s="263">
        <v>75</v>
      </c>
      <c r="F57" s="252">
        <v>0</v>
      </c>
    </row>
    <row r="58" spans="1:6" x14ac:dyDescent="0.35">
      <c r="A58" s="263" t="s">
        <v>964</v>
      </c>
      <c r="B58" s="263" t="s">
        <v>1006</v>
      </c>
      <c r="C58" s="263">
        <v>1705</v>
      </c>
      <c r="D58" s="263" t="s">
        <v>1189</v>
      </c>
      <c r="E58" s="263">
        <v>74</v>
      </c>
      <c r="F58" s="252">
        <v>0</v>
      </c>
    </row>
    <row r="59" spans="1:6" x14ac:dyDescent="0.35">
      <c r="A59" s="263" t="s">
        <v>963</v>
      </c>
      <c r="B59" s="263" t="s">
        <v>1020</v>
      </c>
      <c r="C59" s="263" t="s">
        <v>1155</v>
      </c>
      <c r="D59" s="263" t="s">
        <v>1155</v>
      </c>
      <c r="E59" s="263">
        <v>72</v>
      </c>
      <c r="F59" s="252">
        <v>0</v>
      </c>
    </row>
    <row r="60" spans="1:6" x14ac:dyDescent="0.35">
      <c r="A60" s="263" t="s">
        <v>963</v>
      </c>
      <c r="B60" s="263" t="s">
        <v>997</v>
      </c>
      <c r="C60" s="263">
        <v>1401</v>
      </c>
      <c r="D60" s="263" t="s">
        <v>1163</v>
      </c>
      <c r="E60" s="263">
        <v>72</v>
      </c>
      <c r="F60" s="252">
        <v>0</v>
      </c>
    </row>
    <row r="61" spans="1:6" x14ac:dyDescent="0.35">
      <c r="A61" s="263" t="s">
        <v>963</v>
      </c>
      <c r="B61" s="263" t="s">
        <v>997</v>
      </c>
      <c r="C61" s="263" t="s">
        <v>1208</v>
      </c>
      <c r="D61" s="263" t="s">
        <v>1208</v>
      </c>
      <c r="E61" s="263">
        <v>71</v>
      </c>
      <c r="F61" s="252">
        <v>0</v>
      </c>
    </row>
    <row r="62" spans="1:6" x14ac:dyDescent="0.35">
      <c r="A62" s="263" t="s">
        <v>3506</v>
      </c>
      <c r="B62" s="263" t="s">
        <v>1060</v>
      </c>
      <c r="C62" s="263">
        <v>1104</v>
      </c>
      <c r="D62" s="263" t="s">
        <v>1200</v>
      </c>
      <c r="E62" s="263">
        <v>71</v>
      </c>
      <c r="F62" s="252">
        <v>0</v>
      </c>
    </row>
    <row r="63" spans="1:6" x14ac:dyDescent="0.35">
      <c r="A63" s="263" t="s">
        <v>964</v>
      </c>
      <c r="B63" s="263" t="s">
        <v>1009</v>
      </c>
      <c r="C63" s="263" t="s">
        <v>1110</v>
      </c>
      <c r="D63" s="263" t="s">
        <v>1110</v>
      </c>
      <c r="E63" s="263">
        <v>71</v>
      </c>
      <c r="F63" s="252">
        <v>0</v>
      </c>
    </row>
    <row r="64" spans="1:6" x14ac:dyDescent="0.35">
      <c r="A64" s="263" t="s">
        <v>3506</v>
      </c>
      <c r="B64" s="263" t="s">
        <v>3471</v>
      </c>
      <c r="C64" s="263">
        <v>1401</v>
      </c>
      <c r="D64" s="263" t="s">
        <v>1163</v>
      </c>
      <c r="E64" s="263">
        <v>68</v>
      </c>
      <c r="F64" s="252">
        <v>0</v>
      </c>
    </row>
    <row r="65" spans="1:6" x14ac:dyDescent="0.35">
      <c r="A65" s="263" t="s">
        <v>3506</v>
      </c>
      <c r="B65" s="263" t="s">
        <v>996</v>
      </c>
      <c r="C65" s="263">
        <v>3301</v>
      </c>
      <c r="D65" s="263" t="s">
        <v>1128</v>
      </c>
      <c r="E65" s="263">
        <v>68</v>
      </c>
      <c r="F65" s="252">
        <v>0</v>
      </c>
    </row>
    <row r="66" spans="1:6" x14ac:dyDescent="0.35">
      <c r="A66" s="263" t="s">
        <v>964</v>
      </c>
      <c r="B66" s="263" t="s">
        <v>1011</v>
      </c>
      <c r="C66" s="263" t="s">
        <v>1188</v>
      </c>
      <c r="D66" s="263" t="s">
        <v>1188</v>
      </c>
      <c r="E66" s="263">
        <v>68</v>
      </c>
      <c r="F66" s="252">
        <v>0</v>
      </c>
    </row>
    <row r="67" spans="1:6" x14ac:dyDescent="0.35">
      <c r="A67" s="263" t="s">
        <v>965</v>
      </c>
      <c r="B67" s="263" t="s">
        <v>1058</v>
      </c>
      <c r="C67" s="263" t="s">
        <v>1163</v>
      </c>
      <c r="D67" s="263" t="s">
        <v>1163</v>
      </c>
      <c r="E67" s="263">
        <v>66</v>
      </c>
      <c r="F67" s="252">
        <v>0</v>
      </c>
    </row>
    <row r="68" spans="1:6" x14ac:dyDescent="0.35">
      <c r="A68" s="263" t="s">
        <v>3506</v>
      </c>
      <c r="B68" s="263" t="s">
        <v>996</v>
      </c>
      <c r="C68" s="263" t="s">
        <v>1128</v>
      </c>
      <c r="D68" s="263" t="s">
        <v>1128</v>
      </c>
      <c r="E68" s="263">
        <v>62</v>
      </c>
      <c r="F68" s="252">
        <v>0</v>
      </c>
    </row>
    <row r="69" spans="1:6" x14ac:dyDescent="0.35">
      <c r="A69" s="263" t="s">
        <v>964</v>
      </c>
      <c r="B69" s="263" t="s">
        <v>1006</v>
      </c>
      <c r="C69" s="263">
        <v>1401</v>
      </c>
      <c r="D69" s="263" t="s">
        <v>1163</v>
      </c>
      <c r="E69" s="263">
        <v>62</v>
      </c>
      <c r="F69" s="252">
        <v>0</v>
      </c>
    </row>
    <row r="70" spans="1:6" x14ac:dyDescent="0.35">
      <c r="A70" s="263" t="s">
        <v>964</v>
      </c>
      <c r="B70" s="263" t="s">
        <v>985</v>
      </c>
      <c r="C70" s="263" t="s">
        <v>3504</v>
      </c>
      <c r="D70" s="263" t="s">
        <v>1200</v>
      </c>
      <c r="E70" s="263">
        <v>62</v>
      </c>
      <c r="F70" s="252">
        <v>0</v>
      </c>
    </row>
    <row r="71" spans="1:6" x14ac:dyDescent="0.35">
      <c r="A71" s="263" t="s">
        <v>964</v>
      </c>
      <c r="B71" s="263" t="s">
        <v>1034</v>
      </c>
      <c r="C71" s="263" t="s">
        <v>1210</v>
      </c>
      <c r="D71" s="263" t="s">
        <v>1163</v>
      </c>
      <c r="E71" s="263">
        <v>60</v>
      </c>
      <c r="F71" s="252">
        <v>0</v>
      </c>
    </row>
    <row r="72" spans="1:6" x14ac:dyDescent="0.35">
      <c r="A72" s="263" t="s">
        <v>965</v>
      </c>
      <c r="B72" s="263" t="s">
        <v>1026</v>
      </c>
      <c r="C72" s="263" t="s">
        <v>1111</v>
      </c>
      <c r="D72" s="263" t="s">
        <v>1111</v>
      </c>
      <c r="E72" s="263">
        <v>59</v>
      </c>
      <c r="F72" s="252">
        <v>0</v>
      </c>
    </row>
    <row r="73" spans="1:6" x14ac:dyDescent="0.35">
      <c r="A73" s="263" t="s">
        <v>964</v>
      </c>
      <c r="B73" s="263" t="s">
        <v>1006</v>
      </c>
      <c r="C73" s="263" t="s">
        <v>1210</v>
      </c>
      <c r="D73" s="263" t="s">
        <v>1163</v>
      </c>
      <c r="E73" s="263">
        <v>58</v>
      </c>
      <c r="F73" s="252">
        <v>0</v>
      </c>
    </row>
    <row r="74" spans="1:6" x14ac:dyDescent="0.35">
      <c r="A74" s="263" t="s">
        <v>963</v>
      </c>
      <c r="B74" s="263" t="s">
        <v>997</v>
      </c>
      <c r="C74" s="263" t="s">
        <v>1200</v>
      </c>
      <c r="D74" s="263" t="s">
        <v>1200</v>
      </c>
      <c r="E74" s="263">
        <v>57</v>
      </c>
      <c r="F74" s="252">
        <v>0</v>
      </c>
    </row>
    <row r="75" spans="1:6" x14ac:dyDescent="0.35">
      <c r="A75" s="263" t="s">
        <v>964</v>
      </c>
      <c r="B75" s="263" t="s">
        <v>1009</v>
      </c>
      <c r="C75" s="263" t="s">
        <v>1206</v>
      </c>
      <c r="D75" s="263" t="s">
        <v>1206</v>
      </c>
      <c r="E75" s="263">
        <v>57</v>
      </c>
      <c r="F75" s="252">
        <v>0</v>
      </c>
    </row>
    <row r="76" spans="1:6" x14ac:dyDescent="0.35">
      <c r="A76" s="252" t="s">
        <v>963</v>
      </c>
      <c r="B76" s="252" t="s">
        <v>1003</v>
      </c>
      <c r="C76" s="252" t="s">
        <v>1183</v>
      </c>
      <c r="D76" s="252" t="s">
        <v>1183</v>
      </c>
      <c r="E76" s="252">
        <v>56</v>
      </c>
      <c r="F76" s="252">
        <v>0</v>
      </c>
    </row>
    <row r="77" spans="1:6" x14ac:dyDescent="0.35">
      <c r="A77" s="252" t="s">
        <v>964</v>
      </c>
      <c r="B77" s="252" t="s">
        <v>1011</v>
      </c>
      <c r="C77" s="252">
        <v>1401</v>
      </c>
      <c r="D77" s="252" t="s">
        <v>1163</v>
      </c>
      <c r="E77" s="252">
        <v>53</v>
      </c>
      <c r="F77" s="252">
        <v>0</v>
      </c>
    </row>
    <row r="78" spans="1:6" x14ac:dyDescent="0.35">
      <c r="A78" s="252" t="s">
        <v>963</v>
      </c>
      <c r="B78" s="252" t="s">
        <v>1003</v>
      </c>
      <c r="C78" s="252" t="s">
        <v>1167</v>
      </c>
      <c r="D78" s="252" t="s">
        <v>1167</v>
      </c>
      <c r="E78" s="252">
        <v>51</v>
      </c>
      <c r="F78" s="252">
        <v>0</v>
      </c>
    </row>
    <row r="79" spans="1:6" x14ac:dyDescent="0.35">
      <c r="A79" s="252" t="s">
        <v>964</v>
      </c>
      <c r="B79" s="252" t="s">
        <v>1015</v>
      </c>
      <c r="C79" s="252" t="s">
        <v>1215</v>
      </c>
      <c r="D79" s="252" t="s">
        <v>1215</v>
      </c>
      <c r="E79" s="252">
        <v>51</v>
      </c>
      <c r="F79" s="252">
        <v>0</v>
      </c>
    </row>
    <row r="80" spans="1:6" x14ac:dyDescent="0.35">
      <c r="A80" s="252" t="s">
        <v>964</v>
      </c>
      <c r="B80" s="252" t="s">
        <v>1000</v>
      </c>
      <c r="C80" s="252" t="s">
        <v>1215</v>
      </c>
      <c r="D80" s="252" t="s">
        <v>1215</v>
      </c>
      <c r="E80" s="252">
        <v>51</v>
      </c>
      <c r="F80" s="252">
        <v>0</v>
      </c>
    </row>
    <row r="81" spans="1:6" x14ac:dyDescent="0.35">
      <c r="A81" s="252" t="s">
        <v>965</v>
      </c>
      <c r="B81" s="252" t="s">
        <v>968</v>
      </c>
      <c r="C81" s="252" t="s">
        <v>1215</v>
      </c>
      <c r="D81" s="252" t="s">
        <v>1215</v>
      </c>
      <c r="E81" s="252">
        <v>50</v>
      </c>
      <c r="F81" s="252">
        <v>0</v>
      </c>
    </row>
    <row r="82" spans="1:6" x14ac:dyDescent="0.35">
      <c r="A82" s="252" t="s">
        <v>964</v>
      </c>
      <c r="B82" s="252" t="s">
        <v>1085</v>
      </c>
      <c r="C82" s="252">
        <v>1705</v>
      </c>
      <c r="D82" s="252" t="s">
        <v>1189</v>
      </c>
      <c r="E82" s="252">
        <v>50</v>
      </c>
      <c r="F82" s="252">
        <v>0</v>
      </c>
    </row>
    <row r="83" spans="1:6" x14ac:dyDescent="0.35">
      <c r="A83" s="252" t="s">
        <v>963</v>
      </c>
      <c r="B83" s="252" t="s">
        <v>995</v>
      </c>
      <c r="C83" s="252" t="s">
        <v>1130</v>
      </c>
      <c r="D83" s="252" t="s">
        <v>1130</v>
      </c>
      <c r="E83" s="252">
        <v>49</v>
      </c>
      <c r="F83" s="252">
        <v>0</v>
      </c>
    </row>
    <row r="84" spans="1:6" x14ac:dyDescent="0.35">
      <c r="A84" s="252" t="s">
        <v>963</v>
      </c>
      <c r="B84" s="252" t="s">
        <v>1020</v>
      </c>
      <c r="C84" s="252" t="s">
        <v>1159</v>
      </c>
      <c r="D84" s="252" t="s">
        <v>1159</v>
      </c>
      <c r="E84" s="252">
        <v>49</v>
      </c>
      <c r="F84" s="252">
        <v>0</v>
      </c>
    </row>
    <row r="85" spans="1:6" x14ac:dyDescent="0.35">
      <c r="A85" s="252" t="s">
        <v>964</v>
      </c>
      <c r="B85" s="252" t="s">
        <v>999</v>
      </c>
      <c r="C85" s="252" t="s">
        <v>1111</v>
      </c>
      <c r="D85" s="252" t="s">
        <v>1111</v>
      </c>
      <c r="E85" s="252">
        <v>49</v>
      </c>
      <c r="F85" s="252">
        <v>0</v>
      </c>
    </row>
    <row r="86" spans="1:6" x14ac:dyDescent="0.35">
      <c r="A86" s="252" t="s">
        <v>964</v>
      </c>
      <c r="B86" s="252" t="s">
        <v>1002</v>
      </c>
      <c r="C86" s="252" t="s">
        <v>1175</v>
      </c>
      <c r="D86" s="252" t="s">
        <v>1175</v>
      </c>
      <c r="E86" s="252">
        <v>49</v>
      </c>
      <c r="F86" s="252">
        <v>0</v>
      </c>
    </row>
    <row r="87" spans="1:6" x14ac:dyDescent="0.35">
      <c r="A87" s="252" t="s">
        <v>963</v>
      </c>
      <c r="B87" s="252" t="s">
        <v>1020</v>
      </c>
      <c r="C87" s="252" t="s">
        <v>1180</v>
      </c>
      <c r="D87" s="252" t="s">
        <v>1180</v>
      </c>
      <c r="E87" s="252">
        <v>47</v>
      </c>
      <c r="F87" s="252">
        <v>0</v>
      </c>
    </row>
    <row r="88" spans="1:6" x14ac:dyDescent="0.35">
      <c r="A88" s="252" t="s">
        <v>964</v>
      </c>
      <c r="B88" s="252" t="s">
        <v>1009</v>
      </c>
      <c r="C88" s="252" t="s">
        <v>1158</v>
      </c>
      <c r="D88" s="252" t="s">
        <v>1158</v>
      </c>
      <c r="E88" s="252">
        <v>47</v>
      </c>
      <c r="F88" s="252">
        <v>0</v>
      </c>
    </row>
    <row r="89" spans="1:6" x14ac:dyDescent="0.35">
      <c r="A89" s="252" t="s">
        <v>965</v>
      </c>
      <c r="B89" s="252" t="s">
        <v>1026</v>
      </c>
      <c r="C89" s="252" t="s">
        <v>1120</v>
      </c>
      <c r="D89" s="252" t="s">
        <v>1120</v>
      </c>
      <c r="E89" s="252">
        <v>46</v>
      </c>
      <c r="F89" s="252">
        <v>0</v>
      </c>
    </row>
    <row r="90" spans="1:6" x14ac:dyDescent="0.35">
      <c r="A90" s="252" t="s">
        <v>964</v>
      </c>
      <c r="B90" s="252" t="s">
        <v>1011</v>
      </c>
      <c r="C90" s="252">
        <v>1006</v>
      </c>
      <c r="D90" s="252" t="s">
        <v>1188</v>
      </c>
      <c r="E90" s="252">
        <v>46</v>
      </c>
      <c r="F90" s="252">
        <v>0</v>
      </c>
    </row>
    <row r="91" spans="1:6" x14ac:dyDescent="0.35">
      <c r="A91" s="252" t="s">
        <v>964</v>
      </c>
      <c r="B91" s="252" t="s">
        <v>1006</v>
      </c>
      <c r="C91" s="252" t="s">
        <v>981</v>
      </c>
      <c r="D91" s="252" t="s">
        <v>981</v>
      </c>
      <c r="E91" s="252">
        <v>44</v>
      </c>
      <c r="F91" s="252">
        <v>0</v>
      </c>
    </row>
    <row r="92" spans="1:6" x14ac:dyDescent="0.35">
      <c r="A92" s="252" t="s">
        <v>964</v>
      </c>
      <c r="B92" s="252" t="s">
        <v>1009</v>
      </c>
      <c r="C92" s="252">
        <v>3158</v>
      </c>
      <c r="D92" s="252" t="s">
        <v>1130</v>
      </c>
      <c r="E92" s="252">
        <v>43</v>
      </c>
      <c r="F92" s="252">
        <v>0</v>
      </c>
    </row>
    <row r="93" spans="1:6" x14ac:dyDescent="0.35">
      <c r="A93" s="252" t="s">
        <v>964</v>
      </c>
      <c r="B93" s="252" t="s">
        <v>1009</v>
      </c>
      <c r="C93" s="252">
        <v>5762</v>
      </c>
      <c r="D93" s="252" t="s">
        <v>1125</v>
      </c>
      <c r="E93" s="252">
        <v>42</v>
      </c>
      <c r="F93" s="252">
        <v>0</v>
      </c>
    </row>
    <row r="94" spans="1:6" x14ac:dyDescent="0.35">
      <c r="A94" s="252" t="s">
        <v>964</v>
      </c>
      <c r="B94" s="252" t="s">
        <v>1009</v>
      </c>
      <c r="C94" s="252" t="s">
        <v>1212</v>
      </c>
      <c r="D94" s="252" t="s">
        <v>1212</v>
      </c>
      <c r="E94" s="252">
        <v>42</v>
      </c>
      <c r="F94" s="252">
        <v>0</v>
      </c>
    </row>
    <row r="95" spans="1:6" x14ac:dyDescent="0.35">
      <c r="A95" s="252" t="s">
        <v>964</v>
      </c>
      <c r="B95" s="252" t="s">
        <v>994</v>
      </c>
      <c r="C95" s="252" t="s">
        <v>1119</v>
      </c>
      <c r="D95" s="252" t="s">
        <v>1119</v>
      </c>
      <c r="E95" s="252">
        <v>41</v>
      </c>
      <c r="F95" s="252">
        <v>0</v>
      </c>
    </row>
    <row r="96" spans="1:6" x14ac:dyDescent="0.35">
      <c r="A96" s="252" t="s">
        <v>964</v>
      </c>
      <c r="B96" s="252" t="s">
        <v>989</v>
      </c>
      <c r="C96" s="252" t="s">
        <v>3504</v>
      </c>
      <c r="D96" s="252" t="s">
        <v>1200</v>
      </c>
      <c r="E96" s="252">
        <v>41</v>
      </c>
      <c r="F96" s="252">
        <v>0</v>
      </c>
    </row>
    <row r="97" spans="1:6" x14ac:dyDescent="0.35">
      <c r="A97" s="252" t="s">
        <v>964</v>
      </c>
      <c r="B97" s="252" t="s">
        <v>1013</v>
      </c>
      <c r="C97" s="252" t="s">
        <v>981</v>
      </c>
      <c r="D97" s="252" t="s">
        <v>981</v>
      </c>
      <c r="E97" s="252">
        <v>41</v>
      </c>
      <c r="F97" s="252">
        <v>0</v>
      </c>
    </row>
    <row r="98" spans="1:6" x14ac:dyDescent="0.35">
      <c r="A98" s="252" t="s">
        <v>964</v>
      </c>
      <c r="B98" s="252" t="s">
        <v>1009</v>
      </c>
      <c r="C98" s="252" t="s">
        <v>1130</v>
      </c>
      <c r="D98" s="252" t="s">
        <v>1130</v>
      </c>
      <c r="E98" s="252">
        <v>41</v>
      </c>
      <c r="F98" s="252">
        <v>0</v>
      </c>
    </row>
    <row r="99" spans="1:6" x14ac:dyDescent="0.35">
      <c r="A99" s="252" t="s">
        <v>963</v>
      </c>
      <c r="B99" s="252" t="s">
        <v>995</v>
      </c>
      <c r="C99" s="252" t="s">
        <v>1153</v>
      </c>
      <c r="D99" s="252" t="s">
        <v>1153</v>
      </c>
      <c r="E99" s="252">
        <v>40</v>
      </c>
      <c r="F99" s="252">
        <v>0</v>
      </c>
    </row>
    <row r="100" spans="1:6" x14ac:dyDescent="0.35">
      <c r="A100" s="252" t="s">
        <v>964</v>
      </c>
      <c r="B100" s="252" t="s">
        <v>1034</v>
      </c>
      <c r="C100" s="252" t="s">
        <v>1130</v>
      </c>
      <c r="D100" s="252" t="s">
        <v>1130</v>
      </c>
      <c r="E100" s="252">
        <v>40</v>
      </c>
      <c r="F100" s="252">
        <v>0</v>
      </c>
    </row>
    <row r="101" spans="1:6" x14ac:dyDescent="0.35">
      <c r="A101" s="252" t="s">
        <v>964</v>
      </c>
      <c r="B101" s="252" t="s">
        <v>1009</v>
      </c>
      <c r="C101" s="252" t="s">
        <v>3505</v>
      </c>
      <c r="D101" s="252" t="s">
        <v>3505</v>
      </c>
      <c r="E101" s="252">
        <v>40</v>
      </c>
      <c r="F101" s="252">
        <v>0</v>
      </c>
    </row>
    <row r="102" spans="1:6" x14ac:dyDescent="0.35">
      <c r="A102" s="252" t="s">
        <v>964</v>
      </c>
      <c r="B102" s="252" t="s">
        <v>972</v>
      </c>
      <c r="C102" s="252" t="s">
        <v>1163</v>
      </c>
      <c r="D102" s="252" t="s">
        <v>1163</v>
      </c>
      <c r="E102" s="252">
        <v>40</v>
      </c>
      <c r="F102" s="252">
        <v>0</v>
      </c>
    </row>
    <row r="103" spans="1:6" x14ac:dyDescent="0.35">
      <c r="A103" s="252" t="s">
        <v>1222</v>
      </c>
      <c r="B103" s="252" t="s">
        <v>1080</v>
      </c>
      <c r="C103" s="252">
        <v>2919</v>
      </c>
      <c r="D103" s="252" t="s">
        <v>1162</v>
      </c>
      <c r="E103" s="252">
        <v>39</v>
      </c>
      <c r="F103" s="252">
        <v>0</v>
      </c>
    </row>
    <row r="104" spans="1:6" x14ac:dyDescent="0.35">
      <c r="A104" s="252" t="s">
        <v>964</v>
      </c>
      <c r="B104" s="252" t="s">
        <v>973</v>
      </c>
      <c r="C104" s="252" t="s">
        <v>1144</v>
      </c>
      <c r="D104" s="252" t="s">
        <v>1144</v>
      </c>
      <c r="E104" s="252">
        <v>39</v>
      </c>
      <c r="F104" s="252">
        <v>0</v>
      </c>
    </row>
    <row r="105" spans="1:6" x14ac:dyDescent="0.35">
      <c r="A105" s="252" t="s">
        <v>964</v>
      </c>
      <c r="B105" s="252" t="s">
        <v>1006</v>
      </c>
      <c r="C105" s="252">
        <v>3980</v>
      </c>
      <c r="D105" s="252" t="s">
        <v>981</v>
      </c>
      <c r="E105" s="252">
        <v>38</v>
      </c>
      <c r="F105" s="252">
        <v>0</v>
      </c>
    </row>
    <row r="106" spans="1:6" x14ac:dyDescent="0.35">
      <c r="A106" s="252" t="s">
        <v>964</v>
      </c>
      <c r="B106" s="252" t="s">
        <v>1006</v>
      </c>
      <c r="C106" s="252" t="s">
        <v>1167</v>
      </c>
      <c r="D106" s="252" t="s">
        <v>1167</v>
      </c>
      <c r="E106" s="252">
        <v>38</v>
      </c>
      <c r="F106" s="252">
        <v>0</v>
      </c>
    </row>
    <row r="107" spans="1:6" x14ac:dyDescent="0.35">
      <c r="A107" s="252" t="s">
        <v>963</v>
      </c>
      <c r="B107" s="252" t="s">
        <v>995</v>
      </c>
      <c r="C107" s="252">
        <v>1601</v>
      </c>
      <c r="D107" s="252" t="s">
        <v>1133</v>
      </c>
      <c r="E107" s="252">
        <v>37</v>
      </c>
      <c r="F107" s="252">
        <v>0</v>
      </c>
    </row>
    <row r="108" spans="1:6" x14ac:dyDescent="0.35">
      <c r="A108" s="252" t="s">
        <v>963</v>
      </c>
      <c r="B108" s="252" t="s">
        <v>1043</v>
      </c>
      <c r="C108" s="252" t="s">
        <v>1111</v>
      </c>
      <c r="D108" s="252" t="s">
        <v>1111</v>
      </c>
      <c r="E108" s="252">
        <v>37</v>
      </c>
      <c r="F108" s="252">
        <v>0</v>
      </c>
    </row>
    <row r="109" spans="1:6" x14ac:dyDescent="0.35">
      <c r="A109" s="252" t="s">
        <v>965</v>
      </c>
      <c r="B109" s="252" t="s">
        <v>968</v>
      </c>
      <c r="C109" s="252" t="s">
        <v>1163</v>
      </c>
      <c r="D109" s="252" t="s">
        <v>1163</v>
      </c>
      <c r="E109" s="252">
        <v>37</v>
      </c>
      <c r="F109" s="252">
        <v>0</v>
      </c>
    </row>
    <row r="110" spans="1:6" x14ac:dyDescent="0.35">
      <c r="A110" s="252" t="s">
        <v>964</v>
      </c>
      <c r="B110" s="252" t="s">
        <v>973</v>
      </c>
      <c r="C110" s="252">
        <v>1104</v>
      </c>
      <c r="D110" s="252" t="s">
        <v>1200</v>
      </c>
      <c r="E110" s="252">
        <v>37</v>
      </c>
      <c r="F110" s="252">
        <v>0</v>
      </c>
    </row>
    <row r="111" spans="1:6" x14ac:dyDescent="0.35">
      <c r="A111" s="252" t="s">
        <v>964</v>
      </c>
      <c r="B111" s="252" t="s">
        <v>1056</v>
      </c>
      <c r="C111" s="252" t="s">
        <v>1144</v>
      </c>
      <c r="D111" s="252" t="s">
        <v>1144</v>
      </c>
      <c r="E111" s="252">
        <v>37</v>
      </c>
      <c r="F111" s="252">
        <v>0</v>
      </c>
    </row>
    <row r="112" spans="1:6" x14ac:dyDescent="0.35">
      <c r="A112" s="252" t="s">
        <v>964</v>
      </c>
      <c r="B112" s="252" t="s">
        <v>985</v>
      </c>
      <c r="C112" s="252" t="s">
        <v>3505</v>
      </c>
      <c r="D112" s="252" t="s">
        <v>3505</v>
      </c>
      <c r="E112" s="252">
        <v>37</v>
      </c>
      <c r="F112" s="252">
        <v>0</v>
      </c>
    </row>
    <row r="113" spans="1:6" x14ac:dyDescent="0.35">
      <c r="A113" s="252" t="s">
        <v>963</v>
      </c>
      <c r="B113" s="252" t="s">
        <v>995</v>
      </c>
      <c r="C113" s="252">
        <v>1712</v>
      </c>
      <c r="D113" s="252" t="s">
        <v>1193</v>
      </c>
      <c r="E113" s="252">
        <v>36</v>
      </c>
      <c r="F113" s="252">
        <v>0</v>
      </c>
    </row>
    <row r="114" spans="1:6" x14ac:dyDescent="0.35">
      <c r="A114" s="252" t="s">
        <v>964</v>
      </c>
      <c r="B114" s="252" t="s">
        <v>986</v>
      </c>
      <c r="C114" s="252">
        <v>709</v>
      </c>
      <c r="D114" s="252" t="s">
        <v>1175</v>
      </c>
      <c r="E114" s="252">
        <v>36</v>
      </c>
      <c r="F114" s="252">
        <v>0</v>
      </c>
    </row>
    <row r="115" spans="1:6" x14ac:dyDescent="0.35">
      <c r="A115" s="252" t="s">
        <v>964</v>
      </c>
      <c r="B115" s="252" t="s">
        <v>1009</v>
      </c>
      <c r="C115" s="252" t="s">
        <v>1141</v>
      </c>
      <c r="D115" s="252" t="s">
        <v>1141</v>
      </c>
      <c r="E115" s="252">
        <v>36</v>
      </c>
      <c r="F115" s="252">
        <v>0</v>
      </c>
    </row>
    <row r="116" spans="1:6" x14ac:dyDescent="0.35">
      <c r="A116" s="252" t="s">
        <v>963</v>
      </c>
      <c r="B116" s="252" t="s">
        <v>995</v>
      </c>
      <c r="C116" s="252" t="s">
        <v>3507</v>
      </c>
      <c r="D116" s="252" t="s">
        <v>3507</v>
      </c>
      <c r="E116" s="252">
        <v>35</v>
      </c>
      <c r="F116" s="252">
        <v>0</v>
      </c>
    </row>
    <row r="117" spans="1:6" x14ac:dyDescent="0.35">
      <c r="A117" s="252" t="s">
        <v>963</v>
      </c>
      <c r="B117" s="252" t="s">
        <v>995</v>
      </c>
      <c r="C117" s="252" t="s">
        <v>1206</v>
      </c>
      <c r="D117" s="252" t="s">
        <v>1206</v>
      </c>
      <c r="E117" s="252">
        <v>35</v>
      </c>
      <c r="F117" s="252">
        <v>0</v>
      </c>
    </row>
    <row r="118" spans="1:6" x14ac:dyDescent="0.35">
      <c r="A118" s="252" t="s">
        <v>965</v>
      </c>
      <c r="B118" s="252" t="s">
        <v>1018</v>
      </c>
      <c r="C118" s="252">
        <v>8122200</v>
      </c>
      <c r="D118" s="252" t="s">
        <v>1159</v>
      </c>
      <c r="E118" s="252">
        <v>35</v>
      </c>
      <c r="F118" s="252">
        <v>0</v>
      </c>
    </row>
    <row r="119" spans="1:6" x14ac:dyDescent="0.35">
      <c r="A119" s="252" t="s">
        <v>964</v>
      </c>
      <c r="B119" s="252" t="s">
        <v>1065</v>
      </c>
      <c r="C119" s="252">
        <v>1401</v>
      </c>
      <c r="D119" s="252" t="s">
        <v>1163</v>
      </c>
      <c r="E119" s="252">
        <v>35</v>
      </c>
      <c r="F119" s="252">
        <v>0</v>
      </c>
    </row>
    <row r="120" spans="1:6" x14ac:dyDescent="0.35">
      <c r="A120" s="252" t="s">
        <v>964</v>
      </c>
      <c r="B120" s="252" t="s">
        <v>1031</v>
      </c>
      <c r="C120" s="252" t="s">
        <v>1111</v>
      </c>
      <c r="D120" s="252" t="s">
        <v>1111</v>
      </c>
      <c r="E120" s="252">
        <v>34</v>
      </c>
      <c r="F120" s="252">
        <v>0</v>
      </c>
    </row>
    <row r="121" spans="1:6" x14ac:dyDescent="0.35">
      <c r="A121" s="252" t="s">
        <v>964</v>
      </c>
      <c r="B121" s="252" t="s">
        <v>1056</v>
      </c>
      <c r="C121" s="252">
        <v>1602</v>
      </c>
      <c r="D121" s="252" t="s">
        <v>1144</v>
      </c>
      <c r="E121" s="252">
        <v>34</v>
      </c>
      <c r="F121" s="252">
        <v>0</v>
      </c>
    </row>
    <row r="122" spans="1:6" x14ac:dyDescent="0.35">
      <c r="A122" s="252" t="s">
        <v>964</v>
      </c>
      <c r="B122" s="252" t="s">
        <v>985</v>
      </c>
      <c r="C122" s="252">
        <v>1401</v>
      </c>
      <c r="D122" s="252" t="s">
        <v>1163</v>
      </c>
      <c r="E122" s="252">
        <v>34</v>
      </c>
      <c r="F122" s="252">
        <v>0</v>
      </c>
    </row>
    <row r="123" spans="1:6" x14ac:dyDescent="0.35">
      <c r="A123" s="252" t="s">
        <v>963</v>
      </c>
      <c r="B123" s="252" t="s">
        <v>1020</v>
      </c>
      <c r="C123" s="252" t="s">
        <v>1129</v>
      </c>
      <c r="D123" s="252" t="s">
        <v>1129</v>
      </c>
      <c r="E123" s="252">
        <v>33</v>
      </c>
      <c r="F123" s="252">
        <v>0</v>
      </c>
    </row>
    <row r="124" spans="1:6" x14ac:dyDescent="0.35">
      <c r="A124" s="252" t="s">
        <v>3506</v>
      </c>
      <c r="B124" s="252" t="s">
        <v>1025</v>
      </c>
      <c r="C124" s="252">
        <v>1406</v>
      </c>
      <c r="D124" s="252" t="s">
        <v>1115</v>
      </c>
      <c r="E124" s="252">
        <v>33</v>
      </c>
      <c r="F124" s="252">
        <v>0</v>
      </c>
    </row>
    <row r="125" spans="1:6" x14ac:dyDescent="0.35">
      <c r="A125" s="252" t="s">
        <v>964</v>
      </c>
      <c r="B125" s="252" t="s">
        <v>986</v>
      </c>
      <c r="C125" s="252" t="s">
        <v>1175</v>
      </c>
      <c r="D125" s="252" t="s">
        <v>1175</v>
      </c>
      <c r="E125" s="252">
        <v>33</v>
      </c>
      <c r="F125" s="252">
        <v>0</v>
      </c>
    </row>
    <row r="126" spans="1:6" x14ac:dyDescent="0.35">
      <c r="A126" s="252" t="s">
        <v>964</v>
      </c>
      <c r="B126" s="252" t="s">
        <v>1006</v>
      </c>
      <c r="C126" s="252" t="s">
        <v>1214</v>
      </c>
      <c r="D126" s="252" t="s">
        <v>1214</v>
      </c>
      <c r="E126" s="252">
        <v>33</v>
      </c>
      <c r="F126" s="252">
        <v>0</v>
      </c>
    </row>
    <row r="127" spans="1:6" x14ac:dyDescent="0.35">
      <c r="A127" s="252" t="s">
        <v>3506</v>
      </c>
      <c r="B127" s="252" t="s">
        <v>1021</v>
      </c>
      <c r="C127" s="252">
        <v>1102</v>
      </c>
      <c r="D127" s="252" t="s">
        <v>1120</v>
      </c>
      <c r="E127" s="252">
        <v>32</v>
      </c>
      <c r="F127" s="252">
        <v>0</v>
      </c>
    </row>
    <row r="128" spans="1:6" x14ac:dyDescent="0.35">
      <c r="A128" s="252" t="s">
        <v>3506</v>
      </c>
      <c r="B128" s="252" t="s">
        <v>3493</v>
      </c>
      <c r="C128" s="252" t="s">
        <v>1175</v>
      </c>
      <c r="D128" s="252" t="s">
        <v>1175</v>
      </c>
      <c r="E128" s="252">
        <v>32</v>
      </c>
      <c r="F128" s="252">
        <v>0</v>
      </c>
    </row>
    <row r="129" spans="1:6" x14ac:dyDescent="0.35">
      <c r="A129" s="252" t="s">
        <v>1223</v>
      </c>
      <c r="B129" s="252" t="s">
        <v>1047</v>
      </c>
      <c r="C129" s="252">
        <v>3158</v>
      </c>
      <c r="D129" s="252" t="s">
        <v>1130</v>
      </c>
      <c r="E129" s="252">
        <v>32</v>
      </c>
      <c r="F129" s="252">
        <v>0</v>
      </c>
    </row>
    <row r="130" spans="1:6" x14ac:dyDescent="0.35">
      <c r="A130" s="252" t="s">
        <v>964</v>
      </c>
      <c r="B130" s="252" t="s">
        <v>985</v>
      </c>
      <c r="C130" s="252" t="s">
        <v>1130</v>
      </c>
      <c r="D130" s="252" t="s">
        <v>1130</v>
      </c>
      <c r="E130" s="252">
        <v>32</v>
      </c>
      <c r="F130" s="252">
        <v>0</v>
      </c>
    </row>
    <row r="131" spans="1:6" x14ac:dyDescent="0.35">
      <c r="A131" s="252" t="s">
        <v>964</v>
      </c>
      <c r="B131" s="252" t="s">
        <v>1009</v>
      </c>
      <c r="C131" s="252">
        <v>1520</v>
      </c>
      <c r="D131" s="252" t="s">
        <v>1110</v>
      </c>
      <c r="E131" s="252">
        <v>32</v>
      </c>
      <c r="F131" s="252">
        <v>0</v>
      </c>
    </row>
    <row r="132" spans="1:6" x14ac:dyDescent="0.35">
      <c r="A132" s="252" t="s">
        <v>965</v>
      </c>
      <c r="B132" s="252" t="s">
        <v>1018</v>
      </c>
      <c r="C132" s="252" t="s">
        <v>1189</v>
      </c>
      <c r="D132" s="252" t="s">
        <v>1189</v>
      </c>
      <c r="E132" s="252">
        <v>31</v>
      </c>
      <c r="F132" s="252">
        <v>0</v>
      </c>
    </row>
    <row r="133" spans="1:6" x14ac:dyDescent="0.35">
      <c r="A133" s="252" t="s">
        <v>964</v>
      </c>
      <c r="B133" s="252" t="s">
        <v>1009</v>
      </c>
      <c r="C133" s="252" t="s">
        <v>1154</v>
      </c>
      <c r="D133" s="252" t="s">
        <v>1154</v>
      </c>
      <c r="E133" s="252">
        <v>31</v>
      </c>
      <c r="F133" s="252">
        <v>0</v>
      </c>
    </row>
    <row r="134" spans="1:6" x14ac:dyDescent="0.35">
      <c r="A134" s="252" t="s">
        <v>963</v>
      </c>
      <c r="B134" s="252" t="s">
        <v>1003</v>
      </c>
      <c r="C134" s="252" t="s">
        <v>1206</v>
      </c>
      <c r="D134" s="252" t="s">
        <v>1206</v>
      </c>
      <c r="E134" s="252">
        <v>30</v>
      </c>
      <c r="F134" s="252">
        <v>0</v>
      </c>
    </row>
    <row r="135" spans="1:6" x14ac:dyDescent="0.35">
      <c r="A135" s="252" t="s">
        <v>964</v>
      </c>
      <c r="B135" s="252" t="s">
        <v>1000</v>
      </c>
      <c r="C135" s="252" t="s">
        <v>1189</v>
      </c>
      <c r="D135" s="252" t="s">
        <v>1189</v>
      </c>
      <c r="E135" s="252">
        <v>30</v>
      </c>
      <c r="F135" s="252">
        <v>0</v>
      </c>
    </row>
    <row r="136" spans="1:6" x14ac:dyDescent="0.35">
      <c r="A136" s="252" t="s">
        <v>964</v>
      </c>
      <c r="B136" s="252" t="s">
        <v>1000</v>
      </c>
      <c r="C136" s="252">
        <v>702</v>
      </c>
      <c r="D136" s="252" t="s">
        <v>1215</v>
      </c>
      <c r="E136" s="252">
        <v>30</v>
      </c>
      <c r="F136" s="252">
        <v>0</v>
      </c>
    </row>
    <row r="137" spans="1:6" x14ac:dyDescent="0.35">
      <c r="A137" s="252" t="s">
        <v>964</v>
      </c>
      <c r="B137" s="252" t="s">
        <v>1009</v>
      </c>
      <c r="C137" s="252" t="s">
        <v>1125</v>
      </c>
      <c r="D137" s="252" t="s">
        <v>1125</v>
      </c>
      <c r="E137" s="252">
        <v>30</v>
      </c>
      <c r="F137" s="252">
        <v>0</v>
      </c>
    </row>
    <row r="138" spans="1:6" x14ac:dyDescent="0.35">
      <c r="A138" s="252" t="s">
        <v>964</v>
      </c>
      <c r="B138" s="252" t="s">
        <v>1009</v>
      </c>
      <c r="C138" s="252" t="s">
        <v>1128</v>
      </c>
      <c r="D138" s="252" t="s">
        <v>1128</v>
      </c>
      <c r="E138" s="252">
        <v>29</v>
      </c>
      <c r="F138" s="252">
        <v>0</v>
      </c>
    </row>
    <row r="139" spans="1:6" x14ac:dyDescent="0.35">
      <c r="A139" s="252" t="s">
        <v>964</v>
      </c>
      <c r="B139" s="252" t="s">
        <v>1006</v>
      </c>
      <c r="C139" s="252" t="s">
        <v>1163</v>
      </c>
      <c r="D139" s="252" t="s">
        <v>1163</v>
      </c>
      <c r="E139" s="252">
        <v>28</v>
      </c>
      <c r="F139" s="252">
        <v>0</v>
      </c>
    </row>
    <row r="140" spans="1:6" x14ac:dyDescent="0.35">
      <c r="A140" s="252" t="s">
        <v>964</v>
      </c>
      <c r="B140" s="252" t="s">
        <v>1002</v>
      </c>
      <c r="C140" s="252">
        <v>1401</v>
      </c>
      <c r="D140" s="252" t="s">
        <v>1163</v>
      </c>
      <c r="E140" s="252">
        <v>28</v>
      </c>
      <c r="F140" s="252">
        <v>0</v>
      </c>
    </row>
    <row r="141" spans="1:6" x14ac:dyDescent="0.35">
      <c r="A141" s="252" t="s">
        <v>964</v>
      </c>
      <c r="B141" s="252" t="s">
        <v>1002</v>
      </c>
      <c r="C141" s="252" t="s">
        <v>1184</v>
      </c>
      <c r="D141" s="252" t="s">
        <v>1184</v>
      </c>
      <c r="E141" s="252">
        <v>28</v>
      </c>
      <c r="F141" s="252">
        <v>0</v>
      </c>
    </row>
    <row r="142" spans="1:6" x14ac:dyDescent="0.35">
      <c r="A142" s="252" t="s">
        <v>964</v>
      </c>
      <c r="B142" s="252" t="s">
        <v>1009</v>
      </c>
      <c r="C142" s="252" t="s">
        <v>1174</v>
      </c>
      <c r="D142" s="252" t="s">
        <v>1174</v>
      </c>
      <c r="E142" s="252">
        <v>28</v>
      </c>
      <c r="F142" s="252">
        <v>0</v>
      </c>
    </row>
    <row r="143" spans="1:6" x14ac:dyDescent="0.35">
      <c r="A143" s="252" t="s">
        <v>964</v>
      </c>
      <c r="B143" s="252" t="s">
        <v>1009</v>
      </c>
      <c r="C143" s="252" t="s">
        <v>1186</v>
      </c>
      <c r="D143" s="252" t="s">
        <v>1186</v>
      </c>
      <c r="E143" s="252">
        <v>28</v>
      </c>
      <c r="F143" s="252">
        <v>0</v>
      </c>
    </row>
    <row r="144" spans="1:6" x14ac:dyDescent="0.35">
      <c r="A144" s="252" t="s">
        <v>963</v>
      </c>
      <c r="B144" s="252" t="s">
        <v>1003</v>
      </c>
      <c r="C144" s="252" t="s">
        <v>1123</v>
      </c>
      <c r="D144" s="252" t="s">
        <v>1123</v>
      </c>
      <c r="E144" s="252">
        <v>27</v>
      </c>
      <c r="F144" s="252">
        <v>0</v>
      </c>
    </row>
    <row r="145" spans="1:6" x14ac:dyDescent="0.35">
      <c r="A145" s="252" t="s">
        <v>964</v>
      </c>
      <c r="B145" s="252" t="s">
        <v>973</v>
      </c>
      <c r="C145" s="252" t="s">
        <v>3504</v>
      </c>
      <c r="D145" s="252" t="s">
        <v>1200</v>
      </c>
      <c r="E145" s="252">
        <v>27</v>
      </c>
      <c r="F145" s="252">
        <v>0</v>
      </c>
    </row>
    <row r="146" spans="1:6" x14ac:dyDescent="0.35">
      <c r="A146" s="252" t="s">
        <v>964</v>
      </c>
      <c r="B146" s="252" t="s">
        <v>1090</v>
      </c>
      <c r="C146" s="252" t="s">
        <v>1175</v>
      </c>
      <c r="D146" s="252" t="s">
        <v>1175</v>
      </c>
      <c r="E146" s="252">
        <v>27</v>
      </c>
      <c r="F146" s="252">
        <v>0</v>
      </c>
    </row>
    <row r="147" spans="1:6" x14ac:dyDescent="0.35">
      <c r="A147" s="252" t="s">
        <v>964</v>
      </c>
      <c r="B147" s="252" t="s">
        <v>1085</v>
      </c>
      <c r="C147" s="252">
        <v>305</v>
      </c>
      <c r="D147" s="252" t="s">
        <v>1171</v>
      </c>
      <c r="E147" s="252">
        <v>27</v>
      </c>
      <c r="F147" s="252">
        <v>0</v>
      </c>
    </row>
    <row r="148" spans="1:6" x14ac:dyDescent="0.35">
      <c r="A148" s="252" t="s">
        <v>963</v>
      </c>
      <c r="B148" s="252" t="s">
        <v>1003</v>
      </c>
      <c r="C148" s="252">
        <v>702</v>
      </c>
      <c r="D148" s="252" t="s">
        <v>1215</v>
      </c>
      <c r="E148" s="252">
        <v>26</v>
      </c>
      <c r="F148" s="252">
        <v>0</v>
      </c>
    </row>
    <row r="149" spans="1:6" x14ac:dyDescent="0.35">
      <c r="A149" s="252" t="s">
        <v>965</v>
      </c>
      <c r="B149" s="252" t="s">
        <v>968</v>
      </c>
      <c r="C149" s="252" t="s">
        <v>1158</v>
      </c>
      <c r="D149" s="252" t="s">
        <v>1158</v>
      </c>
      <c r="E149" s="252">
        <v>26</v>
      </c>
      <c r="F149" s="252">
        <v>0</v>
      </c>
    </row>
    <row r="150" spans="1:6" x14ac:dyDescent="0.35">
      <c r="A150" s="252" t="s">
        <v>964</v>
      </c>
      <c r="B150" s="252" t="s">
        <v>999</v>
      </c>
      <c r="C150" s="252" t="s">
        <v>3504</v>
      </c>
      <c r="D150" s="252" t="s">
        <v>1200</v>
      </c>
      <c r="E150" s="252">
        <v>26</v>
      </c>
      <c r="F150" s="252">
        <v>0</v>
      </c>
    </row>
    <row r="151" spans="1:6" x14ac:dyDescent="0.35">
      <c r="A151" s="252" t="s">
        <v>964</v>
      </c>
      <c r="B151" s="252" t="s">
        <v>1009</v>
      </c>
      <c r="C151" s="252" t="s">
        <v>1117</v>
      </c>
      <c r="D151" s="252" t="s">
        <v>1117</v>
      </c>
      <c r="E151" s="252">
        <v>26</v>
      </c>
      <c r="F151" s="252">
        <v>0</v>
      </c>
    </row>
    <row r="152" spans="1:6" x14ac:dyDescent="0.35">
      <c r="A152" s="252" t="s">
        <v>964</v>
      </c>
      <c r="B152" s="252" t="s">
        <v>1009</v>
      </c>
      <c r="C152" s="252" t="s">
        <v>1159</v>
      </c>
      <c r="D152" s="252" t="s">
        <v>1159</v>
      </c>
      <c r="E152" s="252">
        <v>26</v>
      </c>
      <c r="F152" s="252">
        <v>0</v>
      </c>
    </row>
    <row r="153" spans="1:6" x14ac:dyDescent="0.35">
      <c r="A153" s="252" t="s">
        <v>963</v>
      </c>
      <c r="B153" s="252" t="s">
        <v>1003</v>
      </c>
      <c r="C153" s="252" t="s">
        <v>1195</v>
      </c>
      <c r="D153" s="252" t="s">
        <v>1195</v>
      </c>
      <c r="E153" s="252">
        <v>25</v>
      </c>
      <c r="F153" s="252">
        <v>0</v>
      </c>
    </row>
    <row r="154" spans="1:6" x14ac:dyDescent="0.35">
      <c r="A154" s="252" t="s">
        <v>963</v>
      </c>
      <c r="B154" s="252" t="s">
        <v>997</v>
      </c>
      <c r="C154" s="252">
        <v>1602</v>
      </c>
      <c r="D154" s="252" t="s">
        <v>1144</v>
      </c>
      <c r="E154" s="252">
        <v>25</v>
      </c>
      <c r="F154" s="252">
        <v>0</v>
      </c>
    </row>
    <row r="155" spans="1:6" x14ac:dyDescent="0.35">
      <c r="A155" s="252" t="s">
        <v>1220</v>
      </c>
      <c r="B155" s="252" t="s">
        <v>1068</v>
      </c>
      <c r="C155" s="252">
        <v>2881</v>
      </c>
      <c r="D155" s="252" t="s">
        <v>1181</v>
      </c>
      <c r="E155" s="252">
        <v>25</v>
      </c>
      <c r="F155" s="252">
        <v>0</v>
      </c>
    </row>
    <row r="156" spans="1:6" x14ac:dyDescent="0.35">
      <c r="A156" s="252" t="s">
        <v>964</v>
      </c>
      <c r="B156" s="252" t="s">
        <v>1006</v>
      </c>
      <c r="C156" s="252">
        <v>5312</v>
      </c>
      <c r="D156" s="252" t="s">
        <v>1214</v>
      </c>
      <c r="E156" s="252">
        <v>25</v>
      </c>
      <c r="F156" s="252">
        <v>0</v>
      </c>
    </row>
    <row r="157" spans="1:6" x14ac:dyDescent="0.35">
      <c r="A157" s="252" t="s">
        <v>964</v>
      </c>
      <c r="B157" s="252" t="s">
        <v>1002</v>
      </c>
      <c r="C157" s="252" t="s">
        <v>1210</v>
      </c>
      <c r="D157" s="252" t="s">
        <v>1163</v>
      </c>
      <c r="E157" s="252">
        <v>25</v>
      </c>
      <c r="F157" s="252">
        <v>0</v>
      </c>
    </row>
    <row r="158" spans="1:6" x14ac:dyDescent="0.35">
      <c r="A158" s="252" t="s">
        <v>964</v>
      </c>
      <c r="B158" s="252" t="s">
        <v>1009</v>
      </c>
      <c r="C158" s="252" t="s">
        <v>1143</v>
      </c>
      <c r="D158" s="252" t="s">
        <v>1143</v>
      </c>
      <c r="E158" s="252">
        <v>25</v>
      </c>
      <c r="F158" s="252">
        <v>0</v>
      </c>
    </row>
    <row r="159" spans="1:6" x14ac:dyDescent="0.35">
      <c r="A159" s="252" t="s">
        <v>964</v>
      </c>
      <c r="B159" s="252" t="s">
        <v>1009</v>
      </c>
      <c r="C159" s="252" t="s">
        <v>1140</v>
      </c>
      <c r="D159" s="252" t="s">
        <v>1140</v>
      </c>
      <c r="E159" s="252">
        <v>25</v>
      </c>
      <c r="F159" s="252">
        <v>0</v>
      </c>
    </row>
    <row r="160" spans="1:6" x14ac:dyDescent="0.35">
      <c r="A160" s="252" t="s">
        <v>963</v>
      </c>
      <c r="B160" s="252" t="s">
        <v>1003</v>
      </c>
      <c r="C160" s="252" t="s">
        <v>1117</v>
      </c>
      <c r="D160" s="252" t="s">
        <v>1117</v>
      </c>
      <c r="E160" s="252">
        <v>24</v>
      </c>
      <c r="F160" s="252">
        <v>0</v>
      </c>
    </row>
    <row r="161" spans="1:6" x14ac:dyDescent="0.35">
      <c r="A161" s="252" t="s">
        <v>963</v>
      </c>
      <c r="B161" s="252" t="s">
        <v>1003</v>
      </c>
      <c r="C161" s="252" t="s">
        <v>1110</v>
      </c>
      <c r="D161" s="252" t="s">
        <v>1110</v>
      </c>
      <c r="E161" s="252">
        <v>24</v>
      </c>
      <c r="F161" s="252">
        <v>0</v>
      </c>
    </row>
    <row r="162" spans="1:6" x14ac:dyDescent="0.35">
      <c r="A162" s="252" t="s">
        <v>1224</v>
      </c>
      <c r="B162" s="252" t="s">
        <v>1069</v>
      </c>
      <c r="C162" s="252">
        <v>2919</v>
      </c>
      <c r="D162" s="252" t="s">
        <v>1162</v>
      </c>
      <c r="E162" s="252">
        <v>24</v>
      </c>
      <c r="F162" s="252">
        <v>0</v>
      </c>
    </row>
    <row r="163" spans="1:6" x14ac:dyDescent="0.35">
      <c r="A163" s="252" t="s">
        <v>3506</v>
      </c>
      <c r="B163" s="252" t="s">
        <v>1087</v>
      </c>
      <c r="C163" s="252">
        <v>1005</v>
      </c>
      <c r="D163" s="252" t="s">
        <v>1172</v>
      </c>
      <c r="E163" s="252">
        <v>24</v>
      </c>
      <c r="F163" s="252">
        <v>0</v>
      </c>
    </row>
    <row r="164" spans="1:6" x14ac:dyDescent="0.35">
      <c r="A164" s="252" t="s">
        <v>965</v>
      </c>
      <c r="B164" s="252" t="s">
        <v>992</v>
      </c>
      <c r="C164" s="252" t="s">
        <v>1164</v>
      </c>
      <c r="D164" s="252" t="s">
        <v>1164</v>
      </c>
      <c r="E164" s="252">
        <v>24</v>
      </c>
      <c r="F164" s="252">
        <v>0</v>
      </c>
    </row>
    <row r="165" spans="1:6" x14ac:dyDescent="0.35">
      <c r="A165" s="252" t="s">
        <v>965</v>
      </c>
      <c r="B165" s="252" t="s">
        <v>1026</v>
      </c>
      <c r="C165" s="252" t="s">
        <v>1200</v>
      </c>
      <c r="D165" s="252" t="s">
        <v>1200</v>
      </c>
      <c r="E165" s="252">
        <v>24</v>
      </c>
      <c r="F165" s="252">
        <v>0</v>
      </c>
    </row>
    <row r="166" spans="1:6" x14ac:dyDescent="0.35">
      <c r="A166" s="252" t="s">
        <v>965</v>
      </c>
      <c r="B166" s="252" t="s">
        <v>968</v>
      </c>
      <c r="C166" s="252" t="s">
        <v>1206</v>
      </c>
      <c r="D166" s="252" t="s">
        <v>1206</v>
      </c>
      <c r="E166" s="252">
        <v>24</v>
      </c>
      <c r="F166" s="252">
        <v>0</v>
      </c>
    </row>
    <row r="167" spans="1:6" x14ac:dyDescent="0.35">
      <c r="A167" s="252" t="s">
        <v>1220</v>
      </c>
      <c r="B167" s="252" t="s">
        <v>1068</v>
      </c>
      <c r="C167" s="252">
        <v>2919</v>
      </c>
      <c r="D167" s="252" t="s">
        <v>1162</v>
      </c>
      <c r="E167" s="252">
        <v>24</v>
      </c>
      <c r="F167" s="252">
        <v>0</v>
      </c>
    </row>
    <row r="168" spans="1:6" x14ac:dyDescent="0.35">
      <c r="A168" s="252" t="s">
        <v>964</v>
      </c>
      <c r="B168" s="252" t="s">
        <v>1006</v>
      </c>
      <c r="C168" s="252">
        <v>2800</v>
      </c>
      <c r="D168" s="252" t="s">
        <v>1139</v>
      </c>
      <c r="E168" s="252">
        <v>24</v>
      </c>
      <c r="F168" s="252">
        <v>0</v>
      </c>
    </row>
    <row r="169" spans="1:6" x14ac:dyDescent="0.35">
      <c r="A169" s="252" t="s">
        <v>964</v>
      </c>
      <c r="B169" s="252" t="s">
        <v>1083</v>
      </c>
      <c r="C169" s="252">
        <v>1705</v>
      </c>
      <c r="D169" s="252" t="s">
        <v>1189</v>
      </c>
      <c r="E169" s="252">
        <v>24</v>
      </c>
      <c r="F169" s="252">
        <v>0</v>
      </c>
    </row>
    <row r="170" spans="1:6" x14ac:dyDescent="0.35">
      <c r="A170" s="252" t="s">
        <v>964</v>
      </c>
      <c r="B170" s="252" t="s">
        <v>1031</v>
      </c>
      <c r="C170" s="252">
        <v>1401</v>
      </c>
      <c r="D170" s="252" t="s">
        <v>1163</v>
      </c>
      <c r="E170" s="252">
        <v>24</v>
      </c>
      <c r="F170" s="252">
        <v>0</v>
      </c>
    </row>
    <row r="171" spans="1:6" x14ac:dyDescent="0.35">
      <c r="A171" s="252" t="s">
        <v>964</v>
      </c>
      <c r="B171" s="252" t="s">
        <v>1089</v>
      </c>
      <c r="C171" s="252">
        <v>2881</v>
      </c>
      <c r="D171" s="252" t="s">
        <v>1181</v>
      </c>
      <c r="E171" s="252">
        <v>24</v>
      </c>
      <c r="F171" s="252">
        <v>0</v>
      </c>
    </row>
    <row r="172" spans="1:6" x14ac:dyDescent="0.35">
      <c r="A172" s="252" t="s">
        <v>964</v>
      </c>
      <c r="B172" s="252" t="s">
        <v>1009</v>
      </c>
      <c r="C172" s="252" t="s">
        <v>3500</v>
      </c>
      <c r="D172" s="252" t="s">
        <v>1163</v>
      </c>
      <c r="E172" s="252">
        <v>24</v>
      </c>
      <c r="F172" s="252">
        <v>0</v>
      </c>
    </row>
    <row r="173" spans="1:6" x14ac:dyDescent="0.35">
      <c r="A173" s="252" t="s">
        <v>963</v>
      </c>
      <c r="B173" s="252" t="s">
        <v>1003</v>
      </c>
      <c r="C173" s="252" t="s">
        <v>1115</v>
      </c>
      <c r="D173" s="252" t="s">
        <v>1115</v>
      </c>
      <c r="E173" s="252">
        <v>23</v>
      </c>
      <c r="F173" s="252">
        <v>0</v>
      </c>
    </row>
    <row r="174" spans="1:6" x14ac:dyDescent="0.35">
      <c r="A174" s="252" t="s">
        <v>3506</v>
      </c>
      <c r="B174" s="252" t="s">
        <v>996</v>
      </c>
      <c r="C174" s="252">
        <v>1401</v>
      </c>
      <c r="D174" s="252" t="s">
        <v>1163</v>
      </c>
      <c r="E174" s="252">
        <v>23</v>
      </c>
      <c r="F174" s="252">
        <v>0</v>
      </c>
    </row>
    <row r="175" spans="1:6" x14ac:dyDescent="0.35">
      <c r="A175" s="252" t="s">
        <v>965</v>
      </c>
      <c r="B175" s="252" t="s">
        <v>1004</v>
      </c>
      <c r="C175" s="252" t="s">
        <v>1163</v>
      </c>
      <c r="D175" s="252" t="s">
        <v>1163</v>
      </c>
      <c r="E175" s="252">
        <v>23</v>
      </c>
      <c r="F175" s="252">
        <v>0</v>
      </c>
    </row>
    <row r="176" spans="1:6" x14ac:dyDescent="0.35">
      <c r="A176" s="252" t="s">
        <v>964</v>
      </c>
      <c r="B176" s="252" t="s">
        <v>1034</v>
      </c>
      <c r="C176" s="252" t="s">
        <v>1163</v>
      </c>
      <c r="D176" s="252" t="s">
        <v>1163</v>
      </c>
      <c r="E176" s="252">
        <v>23</v>
      </c>
      <c r="F176" s="252">
        <v>0</v>
      </c>
    </row>
    <row r="177" spans="1:6" x14ac:dyDescent="0.35">
      <c r="A177" s="252" t="s">
        <v>964</v>
      </c>
      <c r="B177" s="252" t="s">
        <v>1001</v>
      </c>
      <c r="C177" s="252">
        <v>1709</v>
      </c>
      <c r="D177" s="252" t="s">
        <v>1167</v>
      </c>
      <c r="E177" s="252">
        <v>23</v>
      </c>
      <c r="F177" s="252">
        <v>0</v>
      </c>
    </row>
    <row r="178" spans="1:6" x14ac:dyDescent="0.35">
      <c r="A178" s="252" t="s">
        <v>964</v>
      </c>
      <c r="B178" s="252" t="s">
        <v>1000</v>
      </c>
      <c r="C178" s="252" t="s">
        <v>1115</v>
      </c>
      <c r="D178" s="252" t="s">
        <v>1115</v>
      </c>
      <c r="E178" s="252">
        <v>23</v>
      </c>
      <c r="F178" s="252">
        <v>0</v>
      </c>
    </row>
    <row r="179" spans="1:6" x14ac:dyDescent="0.35">
      <c r="A179" s="252" t="s">
        <v>964</v>
      </c>
      <c r="B179" s="252" t="s">
        <v>985</v>
      </c>
      <c r="C179" s="252" t="s">
        <v>1210</v>
      </c>
      <c r="D179" s="252" t="s">
        <v>1163</v>
      </c>
      <c r="E179" s="252">
        <v>23</v>
      </c>
      <c r="F179" s="252">
        <v>0</v>
      </c>
    </row>
    <row r="180" spans="1:6" x14ac:dyDescent="0.35">
      <c r="A180" s="252" t="s">
        <v>964</v>
      </c>
      <c r="B180" s="252" t="s">
        <v>1035</v>
      </c>
      <c r="C180" s="252">
        <v>6530</v>
      </c>
      <c r="D180" s="252" t="s">
        <v>1117</v>
      </c>
      <c r="E180" s="252">
        <v>23</v>
      </c>
      <c r="F180" s="252">
        <v>0</v>
      </c>
    </row>
    <row r="181" spans="1:6" x14ac:dyDescent="0.35">
      <c r="A181" s="252" t="s">
        <v>963</v>
      </c>
      <c r="B181" s="252" t="s">
        <v>995</v>
      </c>
      <c r="C181" s="252" t="s">
        <v>1174</v>
      </c>
      <c r="D181" s="252" t="s">
        <v>1174</v>
      </c>
      <c r="E181" s="252">
        <v>22</v>
      </c>
      <c r="F181" s="252">
        <v>0</v>
      </c>
    </row>
    <row r="182" spans="1:6" x14ac:dyDescent="0.35">
      <c r="A182" s="252" t="s">
        <v>3506</v>
      </c>
      <c r="B182" s="252" t="s">
        <v>996</v>
      </c>
      <c r="C182" s="252">
        <v>5762</v>
      </c>
      <c r="D182" s="252" t="s">
        <v>1125</v>
      </c>
      <c r="E182" s="252">
        <v>22</v>
      </c>
      <c r="F182" s="252">
        <v>0</v>
      </c>
    </row>
    <row r="183" spans="1:6" x14ac:dyDescent="0.35">
      <c r="A183" s="252" t="s">
        <v>1223</v>
      </c>
      <c r="B183" s="252" t="s">
        <v>1075</v>
      </c>
      <c r="C183" s="252">
        <v>2919</v>
      </c>
      <c r="D183" s="252" t="s">
        <v>1162</v>
      </c>
      <c r="E183" s="252">
        <v>22</v>
      </c>
      <c r="F183" s="252">
        <v>0</v>
      </c>
    </row>
    <row r="184" spans="1:6" x14ac:dyDescent="0.35">
      <c r="A184" s="252" t="s">
        <v>964</v>
      </c>
      <c r="B184" s="252" t="s">
        <v>1083</v>
      </c>
      <c r="C184" s="252" t="s">
        <v>1189</v>
      </c>
      <c r="D184" s="252" t="s">
        <v>1189</v>
      </c>
      <c r="E184" s="252">
        <v>22</v>
      </c>
      <c r="F184" s="252">
        <v>0</v>
      </c>
    </row>
    <row r="185" spans="1:6" x14ac:dyDescent="0.35">
      <c r="A185" s="252" t="s">
        <v>964</v>
      </c>
      <c r="B185" s="252" t="s">
        <v>1001</v>
      </c>
      <c r="C185" s="252" t="s">
        <v>1167</v>
      </c>
      <c r="D185" s="252" t="s">
        <v>1167</v>
      </c>
      <c r="E185" s="252">
        <v>22</v>
      </c>
      <c r="F185" s="252">
        <v>0</v>
      </c>
    </row>
    <row r="186" spans="1:6" x14ac:dyDescent="0.35">
      <c r="A186" s="252" t="s">
        <v>964</v>
      </c>
      <c r="B186" s="252" t="s">
        <v>985</v>
      </c>
      <c r="C186" s="252" t="s">
        <v>1189</v>
      </c>
      <c r="D186" s="252" t="s">
        <v>1189</v>
      </c>
      <c r="E186" s="252">
        <v>22</v>
      </c>
      <c r="F186" s="252">
        <v>0</v>
      </c>
    </row>
    <row r="187" spans="1:6" x14ac:dyDescent="0.35">
      <c r="A187" s="252" t="s">
        <v>964</v>
      </c>
      <c r="B187" s="252" t="s">
        <v>1009</v>
      </c>
      <c r="C187" s="252" t="s">
        <v>1175</v>
      </c>
      <c r="D187" s="252" t="s">
        <v>1175</v>
      </c>
      <c r="E187" s="252">
        <v>22</v>
      </c>
      <c r="F187" s="252">
        <v>0</v>
      </c>
    </row>
    <row r="188" spans="1:6" x14ac:dyDescent="0.35">
      <c r="A188" s="252" t="s">
        <v>963</v>
      </c>
      <c r="B188" s="252" t="s">
        <v>1003</v>
      </c>
      <c r="C188" s="252" t="s">
        <v>1125</v>
      </c>
      <c r="D188" s="252" t="s">
        <v>1125</v>
      </c>
      <c r="E188" s="252">
        <v>21</v>
      </c>
      <c r="F188" s="252">
        <v>0</v>
      </c>
    </row>
    <row r="189" spans="1:6" x14ac:dyDescent="0.35">
      <c r="A189" s="252" t="s">
        <v>3506</v>
      </c>
      <c r="B189" s="252" t="s">
        <v>3492</v>
      </c>
      <c r="C189" s="252">
        <v>6817</v>
      </c>
      <c r="D189" s="252" t="s">
        <v>1151</v>
      </c>
      <c r="E189" s="252">
        <v>21</v>
      </c>
      <c r="F189" s="252">
        <v>0</v>
      </c>
    </row>
    <row r="190" spans="1:6" x14ac:dyDescent="0.35">
      <c r="A190" s="252" t="s">
        <v>1223</v>
      </c>
      <c r="B190" s="252" t="s">
        <v>1047</v>
      </c>
      <c r="C190" s="252" t="s">
        <v>1188</v>
      </c>
      <c r="D190" s="252" t="s">
        <v>1188</v>
      </c>
      <c r="E190" s="252">
        <v>21</v>
      </c>
      <c r="F190" s="252">
        <v>0</v>
      </c>
    </row>
    <row r="191" spans="1:6" x14ac:dyDescent="0.35">
      <c r="A191" s="252" t="s">
        <v>965</v>
      </c>
      <c r="B191" s="252" t="s">
        <v>1018</v>
      </c>
      <c r="C191" s="252" t="s">
        <v>1163</v>
      </c>
      <c r="D191" s="252" t="s">
        <v>1163</v>
      </c>
      <c r="E191" s="252">
        <v>21</v>
      </c>
      <c r="F191" s="252">
        <v>0</v>
      </c>
    </row>
    <row r="192" spans="1:6" x14ac:dyDescent="0.35">
      <c r="A192" s="252" t="s">
        <v>964</v>
      </c>
      <c r="B192" s="252" t="s">
        <v>999</v>
      </c>
      <c r="C192" s="252" t="s">
        <v>1163</v>
      </c>
      <c r="D192" s="252" t="s">
        <v>1163</v>
      </c>
      <c r="E192" s="252">
        <v>21</v>
      </c>
      <c r="F192" s="252">
        <v>0</v>
      </c>
    </row>
    <row r="193" spans="1:6" x14ac:dyDescent="0.35">
      <c r="A193" s="252" t="s">
        <v>964</v>
      </c>
      <c r="B193" s="252" t="s">
        <v>999</v>
      </c>
      <c r="C193" s="252">
        <v>1401</v>
      </c>
      <c r="D193" s="252" t="s">
        <v>1163</v>
      </c>
      <c r="E193" s="252">
        <v>21</v>
      </c>
      <c r="F193" s="252">
        <v>0</v>
      </c>
    </row>
    <row r="194" spans="1:6" x14ac:dyDescent="0.35">
      <c r="A194" s="252" t="s">
        <v>964</v>
      </c>
      <c r="B194" s="252" t="s">
        <v>1001</v>
      </c>
      <c r="C194" s="252" t="s">
        <v>1210</v>
      </c>
      <c r="D194" s="252" t="s">
        <v>1163</v>
      </c>
      <c r="E194" s="252">
        <v>21</v>
      </c>
      <c r="F194" s="252">
        <v>0</v>
      </c>
    </row>
    <row r="195" spans="1:6" x14ac:dyDescent="0.35">
      <c r="A195" s="252" t="s">
        <v>964</v>
      </c>
      <c r="B195" s="252" t="s">
        <v>1001</v>
      </c>
      <c r="C195" s="252" t="s">
        <v>3507</v>
      </c>
      <c r="D195" s="252" t="s">
        <v>3507</v>
      </c>
      <c r="E195" s="252">
        <v>21</v>
      </c>
      <c r="F195" s="252">
        <v>0</v>
      </c>
    </row>
    <row r="196" spans="1:6" x14ac:dyDescent="0.35">
      <c r="A196" s="252" t="s">
        <v>964</v>
      </c>
      <c r="B196" s="252" t="s">
        <v>1009</v>
      </c>
      <c r="C196" s="252">
        <v>6794</v>
      </c>
      <c r="D196" s="252" t="s">
        <v>1203</v>
      </c>
      <c r="E196" s="252">
        <v>21</v>
      </c>
      <c r="F196" s="252">
        <v>0</v>
      </c>
    </row>
    <row r="197" spans="1:6" x14ac:dyDescent="0.35">
      <c r="A197" s="252" t="s">
        <v>964</v>
      </c>
      <c r="B197" s="252" t="s">
        <v>1009</v>
      </c>
      <c r="C197" s="252" t="s">
        <v>1115</v>
      </c>
      <c r="D197" s="252" t="s">
        <v>1115</v>
      </c>
      <c r="E197" s="252">
        <v>21</v>
      </c>
      <c r="F197" s="252">
        <v>0</v>
      </c>
    </row>
    <row r="198" spans="1:6" x14ac:dyDescent="0.35">
      <c r="A198" s="252" t="s">
        <v>964</v>
      </c>
      <c r="B198" s="252" t="s">
        <v>1009</v>
      </c>
      <c r="C198" s="252">
        <v>1701</v>
      </c>
      <c r="D198" s="252" t="s">
        <v>981</v>
      </c>
      <c r="E198" s="252">
        <v>21</v>
      </c>
      <c r="F198" s="252">
        <v>0</v>
      </c>
    </row>
    <row r="199" spans="1:6" x14ac:dyDescent="0.35">
      <c r="A199" s="252" t="s">
        <v>963</v>
      </c>
      <c r="B199" s="252" t="s">
        <v>995</v>
      </c>
      <c r="C199" s="252" t="s">
        <v>1200</v>
      </c>
      <c r="D199" s="252" t="s">
        <v>1200</v>
      </c>
      <c r="E199" s="252">
        <v>20</v>
      </c>
      <c r="F199" s="252">
        <v>0</v>
      </c>
    </row>
    <row r="200" spans="1:6" x14ac:dyDescent="0.35">
      <c r="A200" s="252" t="s">
        <v>963</v>
      </c>
      <c r="B200" s="252" t="s">
        <v>1020</v>
      </c>
      <c r="C200" s="252" t="s">
        <v>1167</v>
      </c>
      <c r="D200" s="252" t="s">
        <v>1167</v>
      </c>
      <c r="E200" s="252">
        <v>20</v>
      </c>
      <c r="F200" s="252">
        <v>0</v>
      </c>
    </row>
    <row r="201" spans="1:6" x14ac:dyDescent="0.35">
      <c r="A201" s="252" t="s">
        <v>3506</v>
      </c>
      <c r="B201" s="252" t="s">
        <v>3468</v>
      </c>
      <c r="C201" s="252" t="s">
        <v>1215</v>
      </c>
      <c r="D201" s="252" t="s">
        <v>1215</v>
      </c>
      <c r="E201" s="252">
        <v>20</v>
      </c>
      <c r="F201" s="252">
        <v>0</v>
      </c>
    </row>
    <row r="202" spans="1:6" x14ac:dyDescent="0.35">
      <c r="A202" s="252" t="s">
        <v>965</v>
      </c>
      <c r="B202" s="252" t="s">
        <v>1018</v>
      </c>
      <c r="C202" s="252" t="s">
        <v>1167</v>
      </c>
      <c r="D202" s="252" t="s">
        <v>1167</v>
      </c>
      <c r="E202" s="252">
        <v>20</v>
      </c>
      <c r="F202" s="252">
        <v>0</v>
      </c>
    </row>
    <row r="203" spans="1:6" x14ac:dyDescent="0.35">
      <c r="A203" s="252" t="s">
        <v>964</v>
      </c>
      <c r="B203" s="252" t="s">
        <v>994</v>
      </c>
      <c r="C203" s="252" t="s">
        <v>1210</v>
      </c>
      <c r="D203" s="252" t="s">
        <v>1210</v>
      </c>
      <c r="E203" s="252">
        <v>20</v>
      </c>
      <c r="F203" s="252">
        <v>0</v>
      </c>
    </row>
    <row r="204" spans="1:6" x14ac:dyDescent="0.35">
      <c r="A204" s="252" t="s">
        <v>964</v>
      </c>
      <c r="B204" s="252" t="s">
        <v>1051</v>
      </c>
      <c r="C204" s="252">
        <v>702</v>
      </c>
      <c r="D204" s="252" t="s">
        <v>1215</v>
      </c>
      <c r="E204" s="252">
        <v>20</v>
      </c>
      <c r="F204" s="252">
        <v>0</v>
      </c>
    </row>
    <row r="205" spans="1:6" x14ac:dyDescent="0.35">
      <c r="A205" s="252" t="s">
        <v>964</v>
      </c>
      <c r="B205" s="252" t="s">
        <v>1009</v>
      </c>
      <c r="C205" s="252" t="s">
        <v>1181</v>
      </c>
      <c r="D205" s="252" t="s">
        <v>1181</v>
      </c>
      <c r="E205" s="252">
        <v>20</v>
      </c>
      <c r="F205" s="252">
        <v>0</v>
      </c>
    </row>
    <row r="206" spans="1:6" x14ac:dyDescent="0.35">
      <c r="A206" s="252" t="s">
        <v>964</v>
      </c>
      <c r="B206" s="252" t="s">
        <v>1009</v>
      </c>
      <c r="C206" s="252" t="s">
        <v>1202</v>
      </c>
      <c r="D206" s="252" t="s">
        <v>1202</v>
      </c>
      <c r="E206" s="252">
        <v>20</v>
      </c>
      <c r="F206" s="252">
        <v>0</v>
      </c>
    </row>
    <row r="207" spans="1:6" x14ac:dyDescent="0.35">
      <c r="A207" s="252" t="s">
        <v>3506</v>
      </c>
      <c r="B207" s="252" t="s">
        <v>996</v>
      </c>
      <c r="C207" s="252">
        <v>2800</v>
      </c>
      <c r="D207" s="252" t="s">
        <v>1139</v>
      </c>
      <c r="E207" s="252">
        <v>19</v>
      </c>
      <c r="F207" s="252">
        <v>0</v>
      </c>
    </row>
    <row r="208" spans="1:6" x14ac:dyDescent="0.35">
      <c r="A208" s="252" t="s">
        <v>964</v>
      </c>
      <c r="B208" s="252" t="s">
        <v>1089</v>
      </c>
      <c r="C208" s="252" t="s">
        <v>1144</v>
      </c>
      <c r="D208" s="252" t="s">
        <v>1144</v>
      </c>
      <c r="E208" s="252">
        <v>19</v>
      </c>
      <c r="F208" s="252">
        <v>0</v>
      </c>
    </row>
    <row r="209" spans="1:6" x14ac:dyDescent="0.35">
      <c r="A209" s="252" t="s">
        <v>964</v>
      </c>
      <c r="B209" s="252" t="s">
        <v>1011</v>
      </c>
      <c r="C209" s="252">
        <v>1602</v>
      </c>
      <c r="D209" s="252" t="s">
        <v>1144</v>
      </c>
      <c r="E209" s="252">
        <v>19</v>
      </c>
      <c r="F209" s="252">
        <v>0</v>
      </c>
    </row>
    <row r="210" spans="1:6" x14ac:dyDescent="0.35">
      <c r="A210" s="252" t="s">
        <v>964</v>
      </c>
      <c r="B210" s="252" t="s">
        <v>1008</v>
      </c>
      <c r="C210" s="252" t="s">
        <v>1163</v>
      </c>
      <c r="D210" s="252" t="s">
        <v>1163</v>
      </c>
      <c r="E210" s="252">
        <v>19</v>
      </c>
      <c r="F210" s="252">
        <v>0</v>
      </c>
    </row>
    <row r="211" spans="1:6" x14ac:dyDescent="0.35">
      <c r="A211" s="252" t="s">
        <v>964</v>
      </c>
      <c r="B211" s="252" t="s">
        <v>1009</v>
      </c>
      <c r="C211" s="252" t="s">
        <v>1162</v>
      </c>
      <c r="D211" s="252" t="s">
        <v>1162</v>
      </c>
      <c r="E211" s="252">
        <v>19</v>
      </c>
      <c r="F211" s="252">
        <v>0</v>
      </c>
    </row>
    <row r="212" spans="1:6" x14ac:dyDescent="0.35">
      <c r="A212" s="252" t="s">
        <v>964</v>
      </c>
      <c r="B212" s="252" t="s">
        <v>1009</v>
      </c>
      <c r="C212" s="252" t="s">
        <v>1120</v>
      </c>
      <c r="D212" s="252" t="s">
        <v>1120</v>
      </c>
      <c r="E212" s="252">
        <v>19</v>
      </c>
      <c r="F212" s="252">
        <v>0</v>
      </c>
    </row>
    <row r="213" spans="1:6" x14ac:dyDescent="0.35">
      <c r="A213" s="252" t="s">
        <v>964</v>
      </c>
      <c r="B213" s="252" t="s">
        <v>1009</v>
      </c>
      <c r="C213" s="252" t="s">
        <v>1192</v>
      </c>
      <c r="D213" s="252" t="s">
        <v>1192</v>
      </c>
      <c r="E213" s="252">
        <v>19</v>
      </c>
      <c r="F213" s="252">
        <v>0</v>
      </c>
    </row>
    <row r="214" spans="1:6" x14ac:dyDescent="0.35">
      <c r="A214" s="252" t="s">
        <v>964</v>
      </c>
      <c r="B214" s="252" t="s">
        <v>1009</v>
      </c>
      <c r="C214" s="252">
        <v>713</v>
      </c>
      <c r="D214" s="252" t="s">
        <v>1159</v>
      </c>
      <c r="E214" s="252">
        <v>19</v>
      </c>
      <c r="F214" s="252">
        <v>0</v>
      </c>
    </row>
    <row r="215" spans="1:6" x14ac:dyDescent="0.35">
      <c r="A215" s="252" t="s">
        <v>963</v>
      </c>
      <c r="B215" s="252" t="s">
        <v>995</v>
      </c>
      <c r="C215" s="252" t="s">
        <v>1115</v>
      </c>
      <c r="D215" s="252" t="s">
        <v>1115</v>
      </c>
      <c r="E215" s="252">
        <v>18</v>
      </c>
      <c r="F215" s="252">
        <v>0</v>
      </c>
    </row>
    <row r="216" spans="1:6" x14ac:dyDescent="0.35">
      <c r="A216" s="252" t="s">
        <v>963</v>
      </c>
      <c r="B216" s="252" t="s">
        <v>1003</v>
      </c>
      <c r="C216" s="252">
        <v>710</v>
      </c>
      <c r="D216" s="252" t="s">
        <v>3505</v>
      </c>
      <c r="E216" s="252">
        <v>18</v>
      </c>
      <c r="F216" s="252">
        <v>0</v>
      </c>
    </row>
    <row r="217" spans="1:6" x14ac:dyDescent="0.35">
      <c r="A217" s="252" t="s">
        <v>965</v>
      </c>
      <c r="B217" s="252" t="s">
        <v>992</v>
      </c>
      <c r="C217" s="252" t="s">
        <v>981</v>
      </c>
      <c r="D217" s="252" t="s">
        <v>981</v>
      </c>
      <c r="E217" s="252">
        <v>18</v>
      </c>
      <c r="F217" s="252">
        <v>0</v>
      </c>
    </row>
    <row r="218" spans="1:6" x14ac:dyDescent="0.35">
      <c r="A218" s="252" t="s">
        <v>1220</v>
      </c>
      <c r="B218" s="252" t="s">
        <v>1016</v>
      </c>
      <c r="C218" s="252" t="s">
        <v>1187</v>
      </c>
      <c r="D218" s="252" t="s">
        <v>1187</v>
      </c>
      <c r="E218" s="252">
        <v>18</v>
      </c>
      <c r="F218" s="252">
        <v>0</v>
      </c>
    </row>
    <row r="219" spans="1:6" x14ac:dyDescent="0.35">
      <c r="A219" s="252" t="s">
        <v>964</v>
      </c>
      <c r="B219" s="252" t="s">
        <v>1015</v>
      </c>
      <c r="C219" s="252" t="s">
        <v>1110</v>
      </c>
      <c r="D219" s="252" t="s">
        <v>1110</v>
      </c>
      <c r="E219" s="252">
        <v>18</v>
      </c>
      <c r="F219" s="252">
        <v>0</v>
      </c>
    </row>
    <row r="220" spans="1:6" x14ac:dyDescent="0.35">
      <c r="A220" s="252" t="s">
        <v>964</v>
      </c>
      <c r="B220" s="252" t="s">
        <v>973</v>
      </c>
      <c r="C220" s="252" t="s">
        <v>1163</v>
      </c>
      <c r="D220" s="252" t="s">
        <v>1163</v>
      </c>
      <c r="E220" s="252">
        <v>18</v>
      </c>
      <c r="F220" s="252">
        <v>0</v>
      </c>
    </row>
    <row r="221" spans="1:6" x14ac:dyDescent="0.35">
      <c r="A221" s="252" t="s">
        <v>964</v>
      </c>
      <c r="B221" s="252" t="s">
        <v>1009</v>
      </c>
      <c r="C221" s="252" t="s">
        <v>1210</v>
      </c>
      <c r="D221" s="252" t="s">
        <v>1210</v>
      </c>
      <c r="E221" s="252">
        <v>18</v>
      </c>
      <c r="F221" s="252">
        <v>0</v>
      </c>
    </row>
    <row r="222" spans="1:6" x14ac:dyDescent="0.35">
      <c r="A222" s="252" t="s">
        <v>964</v>
      </c>
      <c r="B222" s="252" t="s">
        <v>1009</v>
      </c>
      <c r="C222" s="252">
        <v>1705</v>
      </c>
      <c r="D222" s="252" t="s">
        <v>1189</v>
      </c>
      <c r="E222" s="252">
        <v>18</v>
      </c>
      <c r="F222" s="252">
        <v>0</v>
      </c>
    </row>
    <row r="223" spans="1:6" x14ac:dyDescent="0.35">
      <c r="A223" s="252" t="s">
        <v>963</v>
      </c>
      <c r="B223" s="252" t="s">
        <v>1020</v>
      </c>
      <c r="C223" s="252" t="s">
        <v>981</v>
      </c>
      <c r="D223" s="252" t="s">
        <v>981</v>
      </c>
      <c r="E223" s="252">
        <v>17</v>
      </c>
      <c r="F223" s="252">
        <v>0</v>
      </c>
    </row>
    <row r="224" spans="1:6" x14ac:dyDescent="0.35">
      <c r="A224" s="252" t="s">
        <v>964</v>
      </c>
      <c r="B224" s="252" t="s">
        <v>973</v>
      </c>
      <c r="C224" s="252" t="s">
        <v>1200</v>
      </c>
      <c r="D224" s="252" t="s">
        <v>1200</v>
      </c>
      <c r="E224" s="252">
        <v>17</v>
      </c>
      <c r="F224" s="252">
        <v>0</v>
      </c>
    </row>
    <row r="225" spans="1:6" x14ac:dyDescent="0.35">
      <c r="A225" s="252" t="s">
        <v>964</v>
      </c>
      <c r="B225" s="252" t="s">
        <v>1090</v>
      </c>
      <c r="C225" s="252">
        <v>709</v>
      </c>
      <c r="D225" s="252" t="s">
        <v>1175</v>
      </c>
      <c r="E225" s="252">
        <v>17</v>
      </c>
      <c r="F225" s="252">
        <v>0</v>
      </c>
    </row>
    <row r="226" spans="1:6" x14ac:dyDescent="0.35">
      <c r="A226" s="252" t="s">
        <v>964</v>
      </c>
      <c r="B226" s="252" t="s">
        <v>1085</v>
      </c>
      <c r="C226" s="252">
        <v>1406</v>
      </c>
      <c r="D226" s="252" t="s">
        <v>1115</v>
      </c>
      <c r="E226" s="252">
        <v>17</v>
      </c>
      <c r="F226" s="252">
        <v>0</v>
      </c>
    </row>
    <row r="227" spans="1:6" x14ac:dyDescent="0.35">
      <c r="A227" s="252" t="s">
        <v>964</v>
      </c>
      <c r="B227" s="252" t="s">
        <v>1013</v>
      </c>
      <c r="C227" s="252" t="s">
        <v>1167</v>
      </c>
      <c r="D227" s="252" t="s">
        <v>1167</v>
      </c>
      <c r="E227" s="252">
        <v>17</v>
      </c>
      <c r="F227" s="252">
        <v>0</v>
      </c>
    </row>
    <row r="228" spans="1:6" x14ac:dyDescent="0.35">
      <c r="A228" s="252" t="s">
        <v>964</v>
      </c>
      <c r="B228" s="252" t="s">
        <v>1011</v>
      </c>
      <c r="C228" s="252" t="s">
        <v>1200</v>
      </c>
      <c r="D228" s="252" t="s">
        <v>1200</v>
      </c>
      <c r="E228" s="252">
        <v>17</v>
      </c>
      <c r="F228" s="252">
        <v>0</v>
      </c>
    </row>
    <row r="229" spans="1:6" x14ac:dyDescent="0.35">
      <c r="A229" s="252" t="s">
        <v>964</v>
      </c>
      <c r="B229" s="252" t="s">
        <v>1002</v>
      </c>
      <c r="C229" s="252" t="s">
        <v>1163</v>
      </c>
      <c r="D229" s="252" t="s">
        <v>1163</v>
      </c>
      <c r="E229" s="252">
        <v>17</v>
      </c>
      <c r="F229" s="252">
        <v>0</v>
      </c>
    </row>
    <row r="230" spans="1:6" x14ac:dyDescent="0.35">
      <c r="A230" s="252" t="s">
        <v>964</v>
      </c>
      <c r="B230" s="252" t="s">
        <v>1009</v>
      </c>
      <c r="C230" s="252">
        <v>6807</v>
      </c>
      <c r="D230" s="252" t="s">
        <v>1148</v>
      </c>
      <c r="E230" s="252">
        <v>17</v>
      </c>
      <c r="F230" s="252">
        <v>0</v>
      </c>
    </row>
    <row r="231" spans="1:6" x14ac:dyDescent="0.35">
      <c r="A231" s="252" t="s">
        <v>964</v>
      </c>
      <c r="B231" s="252" t="s">
        <v>1065</v>
      </c>
      <c r="C231" s="252">
        <v>3980</v>
      </c>
      <c r="D231" s="252" t="s">
        <v>981</v>
      </c>
      <c r="E231" s="252">
        <v>17</v>
      </c>
      <c r="F231" s="252">
        <v>0</v>
      </c>
    </row>
    <row r="232" spans="1:6" x14ac:dyDescent="0.35">
      <c r="A232" s="252" t="s">
        <v>963</v>
      </c>
      <c r="B232" s="252" t="s">
        <v>995</v>
      </c>
      <c r="C232" s="252" t="s">
        <v>1141</v>
      </c>
      <c r="D232" s="252" t="s">
        <v>1141</v>
      </c>
      <c r="E232" s="252">
        <v>16</v>
      </c>
      <c r="F232" s="252">
        <v>0</v>
      </c>
    </row>
    <row r="233" spans="1:6" x14ac:dyDescent="0.35">
      <c r="A233" s="252" t="s">
        <v>963</v>
      </c>
      <c r="B233" s="252" t="s">
        <v>1003</v>
      </c>
      <c r="C233" s="252" t="s">
        <v>1175</v>
      </c>
      <c r="D233" s="252" t="s">
        <v>1175</v>
      </c>
      <c r="E233" s="252">
        <v>16</v>
      </c>
      <c r="F233" s="252">
        <v>0</v>
      </c>
    </row>
    <row r="234" spans="1:6" x14ac:dyDescent="0.35">
      <c r="A234" s="252" t="s">
        <v>963</v>
      </c>
      <c r="B234" s="252" t="s">
        <v>995</v>
      </c>
      <c r="C234" s="252" t="s">
        <v>1134</v>
      </c>
      <c r="D234" s="252" t="s">
        <v>1134</v>
      </c>
      <c r="E234" s="252">
        <v>15</v>
      </c>
      <c r="F234" s="252">
        <v>0</v>
      </c>
    </row>
    <row r="235" spans="1:6" x14ac:dyDescent="0.35">
      <c r="A235" s="252" t="s">
        <v>963</v>
      </c>
      <c r="B235" s="252" t="s">
        <v>997</v>
      </c>
      <c r="C235" s="252" t="s">
        <v>1153</v>
      </c>
      <c r="D235" s="252" t="s">
        <v>1153</v>
      </c>
      <c r="E235" s="252">
        <v>15</v>
      </c>
      <c r="F235" s="252">
        <v>0</v>
      </c>
    </row>
    <row r="236" spans="1:6" x14ac:dyDescent="0.35">
      <c r="A236" s="252" t="s">
        <v>965</v>
      </c>
      <c r="B236" s="252" t="s">
        <v>992</v>
      </c>
      <c r="C236" s="252" t="s">
        <v>1130</v>
      </c>
      <c r="D236" s="252" t="s">
        <v>1130</v>
      </c>
      <c r="E236" s="252">
        <v>15</v>
      </c>
      <c r="F236" s="252">
        <v>0</v>
      </c>
    </row>
    <row r="237" spans="1:6" x14ac:dyDescent="0.35">
      <c r="A237" s="252" t="s">
        <v>964</v>
      </c>
      <c r="B237" s="252" t="s">
        <v>999</v>
      </c>
      <c r="C237" s="252" t="s">
        <v>1200</v>
      </c>
      <c r="D237" s="252" t="s">
        <v>1200</v>
      </c>
      <c r="E237" s="252">
        <v>15</v>
      </c>
      <c r="F237" s="252">
        <v>0</v>
      </c>
    </row>
    <row r="238" spans="1:6" x14ac:dyDescent="0.35">
      <c r="A238" s="252" t="s">
        <v>964</v>
      </c>
      <c r="B238" s="252" t="s">
        <v>1011</v>
      </c>
      <c r="C238" s="252">
        <v>6637</v>
      </c>
      <c r="D238" s="252" t="s">
        <v>1128</v>
      </c>
      <c r="E238" s="252">
        <v>15</v>
      </c>
      <c r="F238" s="252">
        <v>0</v>
      </c>
    </row>
    <row r="239" spans="1:6" x14ac:dyDescent="0.35">
      <c r="A239" s="252" t="s">
        <v>964</v>
      </c>
      <c r="B239" s="252" t="s">
        <v>1011</v>
      </c>
      <c r="C239" s="252" t="s">
        <v>1210</v>
      </c>
      <c r="D239" s="252" t="s">
        <v>1163</v>
      </c>
      <c r="E239" s="252">
        <v>15</v>
      </c>
      <c r="F239" s="252">
        <v>0</v>
      </c>
    </row>
    <row r="240" spans="1:6" x14ac:dyDescent="0.35">
      <c r="A240" s="252" t="s">
        <v>964</v>
      </c>
      <c r="B240" s="252" t="s">
        <v>1009</v>
      </c>
      <c r="C240" s="252">
        <v>6297</v>
      </c>
      <c r="D240" s="252" t="s">
        <v>1172</v>
      </c>
      <c r="E240" s="252">
        <v>15</v>
      </c>
      <c r="F240" s="252">
        <v>0</v>
      </c>
    </row>
    <row r="241" spans="1:6" x14ac:dyDescent="0.35">
      <c r="A241" s="252" t="s">
        <v>963</v>
      </c>
      <c r="B241" s="252" t="s">
        <v>1043</v>
      </c>
      <c r="C241" s="252" t="s">
        <v>3504</v>
      </c>
      <c r="D241" s="252" t="s">
        <v>1200</v>
      </c>
      <c r="E241" s="252">
        <v>14</v>
      </c>
      <c r="F241" s="252">
        <v>0</v>
      </c>
    </row>
    <row r="242" spans="1:6" x14ac:dyDescent="0.35">
      <c r="A242" s="252" t="s">
        <v>963</v>
      </c>
      <c r="B242" s="252" t="s">
        <v>1003</v>
      </c>
      <c r="C242" s="252" t="s">
        <v>1212</v>
      </c>
      <c r="D242" s="252" t="s">
        <v>1212</v>
      </c>
      <c r="E242" s="252">
        <v>14</v>
      </c>
      <c r="F242" s="252">
        <v>0</v>
      </c>
    </row>
    <row r="243" spans="1:6" x14ac:dyDescent="0.35">
      <c r="A243" s="252" t="s">
        <v>963</v>
      </c>
      <c r="B243" s="252" t="s">
        <v>1003</v>
      </c>
      <c r="C243" s="252" t="s">
        <v>981</v>
      </c>
      <c r="D243" s="252" t="s">
        <v>981</v>
      </c>
      <c r="E243" s="252">
        <v>14</v>
      </c>
      <c r="F243" s="252">
        <v>0</v>
      </c>
    </row>
    <row r="244" spans="1:6" x14ac:dyDescent="0.35">
      <c r="A244" s="252" t="s">
        <v>1221</v>
      </c>
      <c r="B244" s="252" t="s">
        <v>1012</v>
      </c>
      <c r="C244" s="252" t="s">
        <v>1216</v>
      </c>
      <c r="D244" s="252" t="s">
        <v>1216</v>
      </c>
      <c r="E244" s="252">
        <v>14</v>
      </c>
      <c r="F244" s="252">
        <v>0</v>
      </c>
    </row>
    <row r="245" spans="1:6" x14ac:dyDescent="0.35">
      <c r="A245" s="252" t="s">
        <v>1224</v>
      </c>
      <c r="B245" s="252" t="s">
        <v>1069</v>
      </c>
      <c r="C245" s="252" t="s">
        <v>1212</v>
      </c>
      <c r="D245" s="252" t="s">
        <v>1212</v>
      </c>
      <c r="E245" s="252">
        <v>14</v>
      </c>
      <c r="F245" s="252">
        <v>0</v>
      </c>
    </row>
    <row r="246" spans="1:6" x14ac:dyDescent="0.35">
      <c r="A246" s="252" t="s">
        <v>964</v>
      </c>
      <c r="B246" s="252" t="s">
        <v>1015</v>
      </c>
      <c r="C246" s="252">
        <v>1401</v>
      </c>
      <c r="D246" s="252" t="s">
        <v>1163</v>
      </c>
      <c r="E246" s="252">
        <v>14</v>
      </c>
      <c r="F246" s="252">
        <v>0</v>
      </c>
    </row>
    <row r="247" spans="1:6" x14ac:dyDescent="0.35">
      <c r="A247" s="252" t="s">
        <v>964</v>
      </c>
      <c r="B247" s="252" t="s">
        <v>999</v>
      </c>
      <c r="C247" s="252" t="s">
        <v>1210</v>
      </c>
      <c r="D247" s="252" t="s">
        <v>1163</v>
      </c>
      <c r="E247" s="252">
        <v>14</v>
      </c>
      <c r="F247" s="252">
        <v>0</v>
      </c>
    </row>
    <row r="248" spans="1:6" x14ac:dyDescent="0.35">
      <c r="A248" s="252" t="s">
        <v>964</v>
      </c>
      <c r="B248" s="252" t="s">
        <v>1001</v>
      </c>
      <c r="C248" s="252" t="s">
        <v>981</v>
      </c>
      <c r="D248" s="252" t="s">
        <v>981</v>
      </c>
      <c r="E248" s="252">
        <v>14</v>
      </c>
      <c r="F248" s="252">
        <v>0</v>
      </c>
    </row>
    <row r="249" spans="1:6" x14ac:dyDescent="0.35">
      <c r="A249" s="252" t="s">
        <v>964</v>
      </c>
      <c r="B249" s="252" t="s">
        <v>994</v>
      </c>
      <c r="C249" s="252">
        <v>2881</v>
      </c>
      <c r="D249" s="252" t="s">
        <v>1181</v>
      </c>
      <c r="E249" s="252">
        <v>14</v>
      </c>
      <c r="F249" s="252">
        <v>0</v>
      </c>
    </row>
    <row r="250" spans="1:6" x14ac:dyDescent="0.35">
      <c r="A250" s="252" t="s">
        <v>964</v>
      </c>
      <c r="B250" s="252" t="s">
        <v>1000</v>
      </c>
      <c r="C250" s="252" t="s">
        <v>1163</v>
      </c>
      <c r="D250" s="252" t="s">
        <v>1163</v>
      </c>
      <c r="E250" s="252">
        <v>14</v>
      </c>
      <c r="F250" s="252">
        <v>0</v>
      </c>
    </row>
    <row r="251" spans="1:6" x14ac:dyDescent="0.35">
      <c r="A251" s="252" t="s">
        <v>964</v>
      </c>
      <c r="B251" s="252" t="s">
        <v>1000</v>
      </c>
      <c r="C251" s="252" t="s">
        <v>1127</v>
      </c>
      <c r="D251" s="252" t="s">
        <v>1127</v>
      </c>
      <c r="E251" s="252">
        <v>14</v>
      </c>
      <c r="F251" s="252">
        <v>0</v>
      </c>
    </row>
    <row r="252" spans="1:6" x14ac:dyDescent="0.35">
      <c r="A252" s="252" t="s">
        <v>964</v>
      </c>
      <c r="B252" s="252" t="s">
        <v>1019</v>
      </c>
      <c r="C252" s="252">
        <v>1401</v>
      </c>
      <c r="D252" s="252" t="s">
        <v>1163</v>
      </c>
      <c r="E252" s="252">
        <v>14</v>
      </c>
      <c r="F252" s="252">
        <v>0</v>
      </c>
    </row>
    <row r="253" spans="1:6" x14ac:dyDescent="0.35">
      <c r="A253" s="252" t="s">
        <v>964</v>
      </c>
      <c r="B253" s="252" t="s">
        <v>985</v>
      </c>
      <c r="C253" s="252">
        <v>1102</v>
      </c>
      <c r="D253" s="252" t="s">
        <v>1120</v>
      </c>
      <c r="E253" s="252">
        <v>14</v>
      </c>
      <c r="F253" s="252">
        <v>0</v>
      </c>
    </row>
    <row r="254" spans="1:6" x14ac:dyDescent="0.35">
      <c r="A254" s="252" t="s">
        <v>964</v>
      </c>
      <c r="B254" s="252" t="s">
        <v>985</v>
      </c>
      <c r="C254" s="252">
        <v>710</v>
      </c>
      <c r="D254" s="252" t="s">
        <v>3505</v>
      </c>
      <c r="E254" s="252">
        <v>14</v>
      </c>
      <c r="F254" s="252">
        <v>0</v>
      </c>
    </row>
    <row r="255" spans="1:6" x14ac:dyDescent="0.35">
      <c r="A255" s="252" t="s">
        <v>964</v>
      </c>
      <c r="B255" s="252" t="s">
        <v>1002</v>
      </c>
      <c r="C255" s="252" t="s">
        <v>981</v>
      </c>
      <c r="D255" s="252" t="s">
        <v>981</v>
      </c>
      <c r="E255" s="252">
        <v>14</v>
      </c>
      <c r="F255" s="252">
        <v>0</v>
      </c>
    </row>
    <row r="256" spans="1:6" x14ac:dyDescent="0.35">
      <c r="A256" s="252" t="s">
        <v>964</v>
      </c>
      <c r="B256" s="252" t="s">
        <v>1008</v>
      </c>
      <c r="C256" s="252" t="s">
        <v>1193</v>
      </c>
      <c r="D256" s="252" t="s">
        <v>1193</v>
      </c>
      <c r="E256" s="252">
        <v>14</v>
      </c>
      <c r="F256" s="252">
        <v>0</v>
      </c>
    </row>
    <row r="257" spans="1:6" x14ac:dyDescent="0.35">
      <c r="A257" s="252" t="s">
        <v>964</v>
      </c>
      <c r="B257" s="252" t="s">
        <v>1008</v>
      </c>
      <c r="C257" s="252">
        <v>702</v>
      </c>
      <c r="D257" s="252" t="s">
        <v>1215</v>
      </c>
      <c r="E257" s="252">
        <v>14</v>
      </c>
      <c r="F257" s="252">
        <v>0</v>
      </c>
    </row>
    <row r="258" spans="1:6" x14ac:dyDescent="0.35">
      <c r="A258" s="252" t="s">
        <v>964</v>
      </c>
      <c r="B258" s="252" t="s">
        <v>1009</v>
      </c>
      <c r="C258" s="252" t="s">
        <v>1168</v>
      </c>
      <c r="D258" s="252" t="s">
        <v>1168</v>
      </c>
      <c r="E258" s="252">
        <v>14</v>
      </c>
      <c r="F258" s="252">
        <v>0</v>
      </c>
    </row>
    <row r="259" spans="1:6" x14ac:dyDescent="0.35">
      <c r="A259" s="252" t="s">
        <v>964</v>
      </c>
      <c r="B259" s="252" t="s">
        <v>1035</v>
      </c>
      <c r="C259" s="252">
        <v>802</v>
      </c>
      <c r="D259" s="252" t="s">
        <v>1125</v>
      </c>
      <c r="E259" s="252">
        <v>14</v>
      </c>
      <c r="F259" s="252">
        <v>0</v>
      </c>
    </row>
    <row r="260" spans="1:6" x14ac:dyDescent="0.35">
      <c r="A260" s="252" t="s">
        <v>963</v>
      </c>
      <c r="B260" s="252" t="s">
        <v>995</v>
      </c>
      <c r="C260" s="252" t="s">
        <v>1110</v>
      </c>
      <c r="D260" s="252" t="s">
        <v>1110</v>
      </c>
      <c r="E260" s="252">
        <v>13</v>
      </c>
      <c r="F260" s="252">
        <v>0</v>
      </c>
    </row>
    <row r="261" spans="1:6" x14ac:dyDescent="0.35">
      <c r="A261" s="252" t="s">
        <v>963</v>
      </c>
      <c r="B261" s="252" t="s">
        <v>1036</v>
      </c>
      <c r="C261" s="252" t="s">
        <v>1130</v>
      </c>
      <c r="D261" s="252" t="s">
        <v>1130</v>
      </c>
      <c r="E261" s="252">
        <v>13</v>
      </c>
      <c r="F261" s="252">
        <v>0</v>
      </c>
    </row>
    <row r="262" spans="1:6" x14ac:dyDescent="0.35">
      <c r="A262" s="252" t="s">
        <v>963</v>
      </c>
      <c r="B262" s="252" t="s">
        <v>1003</v>
      </c>
      <c r="C262" s="252">
        <v>2881</v>
      </c>
      <c r="D262" s="252" t="s">
        <v>1181</v>
      </c>
      <c r="E262" s="252">
        <v>13</v>
      </c>
      <c r="F262" s="252">
        <v>0</v>
      </c>
    </row>
    <row r="263" spans="1:6" x14ac:dyDescent="0.35">
      <c r="A263" s="252" t="s">
        <v>1221</v>
      </c>
      <c r="B263" s="252" t="s">
        <v>1012</v>
      </c>
      <c r="C263" s="252">
        <v>3980</v>
      </c>
      <c r="D263" s="252" t="s">
        <v>981</v>
      </c>
      <c r="E263" s="252">
        <v>13</v>
      </c>
      <c r="F263" s="252">
        <v>0</v>
      </c>
    </row>
    <row r="264" spans="1:6" x14ac:dyDescent="0.35">
      <c r="A264" s="252" t="s">
        <v>3506</v>
      </c>
      <c r="B264" s="252" t="s">
        <v>1021</v>
      </c>
      <c r="C264" s="252">
        <v>2684</v>
      </c>
      <c r="D264" s="252" t="s">
        <v>1114</v>
      </c>
      <c r="E264" s="252">
        <v>13</v>
      </c>
      <c r="F264" s="252">
        <v>0</v>
      </c>
    </row>
    <row r="265" spans="1:6" x14ac:dyDescent="0.35">
      <c r="A265" s="252" t="s">
        <v>3506</v>
      </c>
      <c r="B265" s="252" t="s">
        <v>3492</v>
      </c>
      <c r="C265" s="252">
        <v>6491</v>
      </c>
      <c r="D265" s="252" t="s">
        <v>1189</v>
      </c>
      <c r="E265" s="252">
        <v>13</v>
      </c>
      <c r="F265" s="252">
        <v>0</v>
      </c>
    </row>
    <row r="266" spans="1:6" x14ac:dyDescent="0.35">
      <c r="A266" s="252" t="s">
        <v>3506</v>
      </c>
      <c r="B266" s="252" t="s">
        <v>996</v>
      </c>
      <c r="C266" s="252">
        <v>2919</v>
      </c>
      <c r="D266" s="252" t="s">
        <v>1162</v>
      </c>
      <c r="E266" s="252">
        <v>13</v>
      </c>
      <c r="F266" s="252">
        <v>0</v>
      </c>
    </row>
    <row r="267" spans="1:6" x14ac:dyDescent="0.35">
      <c r="A267" s="252" t="s">
        <v>1223</v>
      </c>
      <c r="B267" s="252" t="s">
        <v>1047</v>
      </c>
      <c r="C267" s="252">
        <v>2800</v>
      </c>
      <c r="D267" s="252" t="s">
        <v>1139</v>
      </c>
      <c r="E267" s="252">
        <v>13</v>
      </c>
      <c r="F267" s="252">
        <v>0</v>
      </c>
    </row>
    <row r="268" spans="1:6" x14ac:dyDescent="0.35">
      <c r="A268" s="252" t="s">
        <v>1220</v>
      </c>
      <c r="B268" s="252" t="s">
        <v>1082</v>
      </c>
      <c r="C268" s="252">
        <v>3980</v>
      </c>
      <c r="D268" s="252" t="s">
        <v>981</v>
      </c>
      <c r="E268" s="252">
        <v>13</v>
      </c>
      <c r="F268" s="252">
        <v>0</v>
      </c>
    </row>
    <row r="269" spans="1:6" x14ac:dyDescent="0.35">
      <c r="A269" s="252" t="s">
        <v>964</v>
      </c>
      <c r="B269" s="252" t="s">
        <v>986</v>
      </c>
      <c r="C269" s="252" t="s">
        <v>1215</v>
      </c>
      <c r="D269" s="252" t="s">
        <v>1215</v>
      </c>
      <c r="E269" s="252">
        <v>13</v>
      </c>
      <c r="F269" s="252">
        <v>0</v>
      </c>
    </row>
    <row r="270" spans="1:6" x14ac:dyDescent="0.35">
      <c r="A270" s="252" t="s">
        <v>964</v>
      </c>
      <c r="B270" s="252" t="s">
        <v>1006</v>
      </c>
      <c r="C270" s="252" t="s">
        <v>1210</v>
      </c>
      <c r="D270" s="252" t="s">
        <v>1210</v>
      </c>
      <c r="E270" s="252">
        <v>13</v>
      </c>
      <c r="F270" s="252">
        <v>0</v>
      </c>
    </row>
    <row r="271" spans="1:6" x14ac:dyDescent="0.35">
      <c r="A271" s="252" t="s">
        <v>964</v>
      </c>
      <c r="B271" s="252" t="s">
        <v>1015</v>
      </c>
      <c r="C271" s="252">
        <v>702</v>
      </c>
      <c r="D271" s="252" t="s">
        <v>1215</v>
      </c>
      <c r="E271" s="252">
        <v>13</v>
      </c>
      <c r="F271" s="252">
        <v>0</v>
      </c>
    </row>
    <row r="272" spans="1:6" x14ac:dyDescent="0.35">
      <c r="A272" s="252" t="s">
        <v>964</v>
      </c>
      <c r="B272" s="252" t="s">
        <v>1028</v>
      </c>
      <c r="C272" s="252" t="s">
        <v>1210</v>
      </c>
      <c r="D272" s="252" t="s">
        <v>1163</v>
      </c>
      <c r="E272" s="252">
        <v>13</v>
      </c>
      <c r="F272" s="252">
        <v>0</v>
      </c>
    </row>
    <row r="273" spans="1:6" x14ac:dyDescent="0.35">
      <c r="A273" s="252" t="s">
        <v>964</v>
      </c>
      <c r="B273" s="252" t="s">
        <v>999</v>
      </c>
      <c r="C273" s="252">
        <v>2001</v>
      </c>
      <c r="D273" s="252" t="s">
        <v>1111</v>
      </c>
      <c r="E273" s="252">
        <v>13</v>
      </c>
      <c r="F273" s="252">
        <v>0</v>
      </c>
    </row>
    <row r="274" spans="1:6" x14ac:dyDescent="0.35">
      <c r="A274" s="252" t="s">
        <v>964</v>
      </c>
      <c r="B274" s="252" t="s">
        <v>1002</v>
      </c>
      <c r="C274" s="252" t="s">
        <v>1115</v>
      </c>
      <c r="D274" s="252" t="s">
        <v>1115</v>
      </c>
      <c r="E274" s="252">
        <v>13</v>
      </c>
      <c r="F274" s="252">
        <v>0</v>
      </c>
    </row>
    <row r="275" spans="1:6" x14ac:dyDescent="0.35">
      <c r="A275" s="252" t="s">
        <v>964</v>
      </c>
      <c r="B275" s="252" t="s">
        <v>1009</v>
      </c>
      <c r="C275" s="252" t="s">
        <v>1144</v>
      </c>
      <c r="D275" s="252" t="s">
        <v>1144</v>
      </c>
      <c r="E275" s="252">
        <v>13</v>
      </c>
      <c r="F275" s="252">
        <v>0</v>
      </c>
    </row>
    <row r="276" spans="1:6" x14ac:dyDescent="0.35">
      <c r="A276" s="252" t="s">
        <v>964</v>
      </c>
      <c r="B276" s="252" t="s">
        <v>1072</v>
      </c>
      <c r="C276" s="252" t="s">
        <v>1167</v>
      </c>
      <c r="D276" s="252" t="s">
        <v>1167</v>
      </c>
      <c r="E276" s="252">
        <v>13</v>
      </c>
      <c r="F276" s="252">
        <v>0</v>
      </c>
    </row>
    <row r="277" spans="1:6" x14ac:dyDescent="0.35">
      <c r="A277" s="252" t="s">
        <v>963</v>
      </c>
      <c r="B277" s="252" t="s">
        <v>1070</v>
      </c>
      <c r="C277" s="252" t="s">
        <v>1200</v>
      </c>
      <c r="D277" s="252" t="s">
        <v>1200</v>
      </c>
      <c r="E277" s="252">
        <v>12</v>
      </c>
      <c r="F277" s="252">
        <v>0</v>
      </c>
    </row>
    <row r="278" spans="1:6" x14ac:dyDescent="0.35">
      <c r="A278" s="252" t="s">
        <v>1221</v>
      </c>
      <c r="B278" s="252" t="s">
        <v>1012</v>
      </c>
      <c r="C278" s="252">
        <v>2684</v>
      </c>
      <c r="D278" s="252" t="s">
        <v>1114</v>
      </c>
      <c r="E278" s="252">
        <v>12</v>
      </c>
      <c r="F278" s="252">
        <v>0</v>
      </c>
    </row>
    <row r="279" spans="1:6" x14ac:dyDescent="0.35">
      <c r="A279" s="252" t="s">
        <v>1221</v>
      </c>
      <c r="B279" s="252" t="s">
        <v>1012</v>
      </c>
      <c r="C279" s="252">
        <v>2919</v>
      </c>
      <c r="D279" s="252" t="s">
        <v>1162</v>
      </c>
      <c r="E279" s="252">
        <v>12</v>
      </c>
      <c r="F279" s="252">
        <v>0</v>
      </c>
    </row>
    <row r="280" spans="1:6" x14ac:dyDescent="0.35">
      <c r="A280" s="252" t="s">
        <v>1221</v>
      </c>
      <c r="B280" s="252" t="s">
        <v>1012</v>
      </c>
      <c r="C280" s="252" t="s">
        <v>1152</v>
      </c>
      <c r="D280" s="252" t="s">
        <v>1152</v>
      </c>
      <c r="E280" s="252">
        <v>12</v>
      </c>
      <c r="F280" s="252">
        <v>0</v>
      </c>
    </row>
    <row r="281" spans="1:6" x14ac:dyDescent="0.35">
      <c r="A281" s="252" t="s">
        <v>1224</v>
      </c>
      <c r="B281" s="252" t="s">
        <v>1069</v>
      </c>
      <c r="C281" s="252" t="s">
        <v>1139</v>
      </c>
      <c r="D281" s="252" t="s">
        <v>1139</v>
      </c>
      <c r="E281" s="252">
        <v>12</v>
      </c>
      <c r="F281" s="252">
        <v>0</v>
      </c>
    </row>
    <row r="282" spans="1:6" x14ac:dyDescent="0.35">
      <c r="A282" s="252" t="s">
        <v>1224</v>
      </c>
      <c r="B282" s="252" t="s">
        <v>1109</v>
      </c>
      <c r="C282" s="252">
        <v>2800</v>
      </c>
      <c r="D282" s="252" t="s">
        <v>1139</v>
      </c>
      <c r="E282" s="252">
        <v>12</v>
      </c>
      <c r="F282" s="252">
        <v>0</v>
      </c>
    </row>
    <row r="283" spans="1:6" x14ac:dyDescent="0.35">
      <c r="A283" s="252" t="s">
        <v>3506</v>
      </c>
      <c r="B283" s="252" t="s">
        <v>1087</v>
      </c>
      <c r="C283" s="252">
        <v>6297</v>
      </c>
      <c r="D283" s="252" t="s">
        <v>1172</v>
      </c>
      <c r="E283" s="252">
        <v>12</v>
      </c>
      <c r="F283" s="252">
        <v>0</v>
      </c>
    </row>
    <row r="284" spans="1:6" x14ac:dyDescent="0.35">
      <c r="A284" s="252" t="s">
        <v>3506</v>
      </c>
      <c r="B284" s="252" t="s">
        <v>1023</v>
      </c>
      <c r="C284" s="252" t="s">
        <v>1175</v>
      </c>
      <c r="D284" s="252" t="s">
        <v>1175</v>
      </c>
      <c r="E284" s="252">
        <v>12</v>
      </c>
      <c r="F284" s="252">
        <v>0</v>
      </c>
    </row>
    <row r="285" spans="1:6" x14ac:dyDescent="0.35">
      <c r="A285" s="252" t="s">
        <v>3506</v>
      </c>
      <c r="B285" s="252" t="s">
        <v>3481</v>
      </c>
      <c r="C285" s="252">
        <v>1449</v>
      </c>
      <c r="D285" s="252" t="s">
        <v>1135</v>
      </c>
      <c r="E285" s="252">
        <v>12</v>
      </c>
      <c r="F285" s="252">
        <v>0</v>
      </c>
    </row>
    <row r="286" spans="1:6" x14ac:dyDescent="0.35">
      <c r="A286" s="252" t="s">
        <v>3506</v>
      </c>
      <c r="B286" s="252" t="s">
        <v>1021</v>
      </c>
      <c r="C286" s="252">
        <v>3158</v>
      </c>
      <c r="D286" s="252" t="s">
        <v>1130</v>
      </c>
      <c r="E286" s="252">
        <v>12</v>
      </c>
      <c r="F286" s="252">
        <v>0</v>
      </c>
    </row>
    <row r="287" spans="1:6" x14ac:dyDescent="0.35">
      <c r="A287" s="252" t="s">
        <v>3506</v>
      </c>
      <c r="B287" s="252" t="s">
        <v>1044</v>
      </c>
      <c r="C287" s="252">
        <v>2919</v>
      </c>
      <c r="D287" s="252" t="s">
        <v>1162</v>
      </c>
      <c r="E287" s="252">
        <v>12</v>
      </c>
      <c r="F287" s="252">
        <v>0</v>
      </c>
    </row>
    <row r="288" spans="1:6" x14ac:dyDescent="0.35">
      <c r="A288" s="252" t="s">
        <v>3506</v>
      </c>
      <c r="B288" s="252" t="s">
        <v>1084</v>
      </c>
      <c r="C288" s="252">
        <v>2800</v>
      </c>
      <c r="D288" s="252" t="s">
        <v>1139</v>
      </c>
      <c r="E288" s="252">
        <v>12</v>
      </c>
      <c r="F288" s="252">
        <v>0</v>
      </c>
    </row>
    <row r="289" spans="1:6" x14ac:dyDescent="0.35">
      <c r="A289" s="252" t="s">
        <v>3506</v>
      </c>
      <c r="B289" s="252" t="s">
        <v>3485</v>
      </c>
      <c r="C289" s="252" t="s">
        <v>1189</v>
      </c>
      <c r="D289" s="252" t="s">
        <v>1189</v>
      </c>
      <c r="E289" s="252">
        <v>12</v>
      </c>
      <c r="F289" s="252">
        <v>0</v>
      </c>
    </row>
    <row r="290" spans="1:6" x14ac:dyDescent="0.35">
      <c r="A290" s="252" t="s">
        <v>3506</v>
      </c>
      <c r="B290" s="252" t="s">
        <v>1062</v>
      </c>
      <c r="C290" s="252" t="s">
        <v>1130</v>
      </c>
      <c r="D290" s="252" t="s">
        <v>1130</v>
      </c>
      <c r="E290" s="252">
        <v>12</v>
      </c>
      <c r="F290" s="252">
        <v>0</v>
      </c>
    </row>
    <row r="291" spans="1:6" x14ac:dyDescent="0.35">
      <c r="A291" s="252" t="s">
        <v>3506</v>
      </c>
      <c r="B291" s="252" t="s">
        <v>1064</v>
      </c>
      <c r="C291" s="252">
        <v>1401</v>
      </c>
      <c r="D291" s="252" t="s">
        <v>1163</v>
      </c>
      <c r="E291" s="252">
        <v>12</v>
      </c>
      <c r="F291" s="252">
        <v>0</v>
      </c>
    </row>
    <row r="292" spans="1:6" x14ac:dyDescent="0.35">
      <c r="A292" s="252" t="s">
        <v>3506</v>
      </c>
      <c r="B292" s="252" t="s">
        <v>988</v>
      </c>
      <c r="C292" s="252">
        <v>3980</v>
      </c>
      <c r="D292" s="252" t="s">
        <v>981</v>
      </c>
      <c r="E292" s="252">
        <v>12</v>
      </c>
      <c r="F292" s="252">
        <v>0</v>
      </c>
    </row>
    <row r="293" spans="1:6" x14ac:dyDescent="0.35">
      <c r="A293" s="252" t="s">
        <v>3506</v>
      </c>
      <c r="B293" s="252" t="s">
        <v>1024</v>
      </c>
      <c r="C293" s="252">
        <v>1401</v>
      </c>
      <c r="D293" s="252" t="s">
        <v>1163</v>
      </c>
      <c r="E293" s="252">
        <v>12</v>
      </c>
      <c r="F293" s="252">
        <v>0</v>
      </c>
    </row>
    <row r="294" spans="1:6" x14ac:dyDescent="0.35">
      <c r="A294" s="252" t="s">
        <v>3506</v>
      </c>
      <c r="B294" s="252" t="s">
        <v>1025</v>
      </c>
      <c r="C294" s="252">
        <v>701</v>
      </c>
      <c r="D294" s="252" t="s">
        <v>1110</v>
      </c>
      <c r="E294" s="252">
        <v>12</v>
      </c>
      <c r="F294" s="252">
        <v>0</v>
      </c>
    </row>
    <row r="295" spans="1:6" x14ac:dyDescent="0.35">
      <c r="A295" s="252" t="s">
        <v>1223</v>
      </c>
      <c r="B295" s="252" t="s">
        <v>1047</v>
      </c>
      <c r="C295" s="252" t="s">
        <v>981</v>
      </c>
      <c r="D295" s="252" t="s">
        <v>981</v>
      </c>
      <c r="E295" s="252">
        <v>12</v>
      </c>
      <c r="F295" s="252">
        <v>0</v>
      </c>
    </row>
    <row r="296" spans="1:6" x14ac:dyDescent="0.35">
      <c r="A296" s="252" t="s">
        <v>965</v>
      </c>
      <c r="B296" s="252" t="s">
        <v>991</v>
      </c>
      <c r="C296" s="252">
        <v>2800</v>
      </c>
      <c r="D296" s="252" t="s">
        <v>1139</v>
      </c>
      <c r="E296" s="252">
        <v>12</v>
      </c>
      <c r="F296" s="252">
        <v>0</v>
      </c>
    </row>
    <row r="297" spans="1:6" x14ac:dyDescent="0.35">
      <c r="A297" s="252" t="s">
        <v>965</v>
      </c>
      <c r="B297" s="252" t="s">
        <v>991</v>
      </c>
      <c r="C297" s="252" t="s">
        <v>3507</v>
      </c>
      <c r="D297" s="252" t="s">
        <v>3507</v>
      </c>
      <c r="E297" s="252">
        <v>12</v>
      </c>
      <c r="F297" s="252">
        <v>0</v>
      </c>
    </row>
    <row r="298" spans="1:6" x14ac:dyDescent="0.35">
      <c r="A298" s="252" t="s">
        <v>965</v>
      </c>
      <c r="B298" s="252" t="s">
        <v>992</v>
      </c>
      <c r="C298" s="252" t="s">
        <v>1200</v>
      </c>
      <c r="D298" s="252" t="s">
        <v>1200</v>
      </c>
      <c r="E298" s="252">
        <v>12</v>
      </c>
      <c r="F298" s="252">
        <v>0</v>
      </c>
    </row>
    <row r="299" spans="1:6" x14ac:dyDescent="0.35">
      <c r="A299" s="252" t="s">
        <v>965</v>
      </c>
      <c r="B299" s="252" t="s">
        <v>992</v>
      </c>
      <c r="C299" s="252" t="s">
        <v>1144</v>
      </c>
      <c r="D299" s="252" t="s">
        <v>1144</v>
      </c>
      <c r="E299" s="252">
        <v>12</v>
      </c>
      <c r="F299" s="252">
        <v>0</v>
      </c>
    </row>
    <row r="300" spans="1:6" x14ac:dyDescent="0.35">
      <c r="A300" s="252" t="s">
        <v>965</v>
      </c>
      <c r="B300" s="252" t="s">
        <v>992</v>
      </c>
      <c r="C300" s="252" t="s">
        <v>1215</v>
      </c>
      <c r="D300" s="252" t="s">
        <v>1215</v>
      </c>
      <c r="E300" s="252">
        <v>12</v>
      </c>
      <c r="F300" s="252">
        <v>0</v>
      </c>
    </row>
    <row r="301" spans="1:6" x14ac:dyDescent="0.35">
      <c r="A301" s="252" t="s">
        <v>1220</v>
      </c>
      <c r="B301" s="252" t="s">
        <v>1033</v>
      </c>
      <c r="C301" s="252" t="s">
        <v>1139</v>
      </c>
      <c r="D301" s="252" t="s">
        <v>1139</v>
      </c>
      <c r="E301" s="252">
        <v>12</v>
      </c>
      <c r="F301" s="252">
        <v>0</v>
      </c>
    </row>
    <row r="302" spans="1:6" x14ac:dyDescent="0.35">
      <c r="A302" s="252" t="s">
        <v>1220</v>
      </c>
      <c r="B302" s="252" t="s">
        <v>1068</v>
      </c>
      <c r="C302" s="252">
        <v>6807</v>
      </c>
      <c r="D302" s="252" t="s">
        <v>1148</v>
      </c>
      <c r="E302" s="252">
        <v>12</v>
      </c>
      <c r="F302" s="252">
        <v>0</v>
      </c>
    </row>
    <row r="303" spans="1:6" x14ac:dyDescent="0.35">
      <c r="A303" s="252" t="s">
        <v>964</v>
      </c>
      <c r="B303" s="252" t="s">
        <v>1015</v>
      </c>
      <c r="C303" s="252">
        <v>3980</v>
      </c>
      <c r="D303" s="252" t="s">
        <v>981</v>
      </c>
      <c r="E303" s="252">
        <v>12</v>
      </c>
      <c r="F303" s="252">
        <v>0</v>
      </c>
    </row>
    <row r="304" spans="1:6" x14ac:dyDescent="0.35">
      <c r="A304" s="252" t="s">
        <v>964</v>
      </c>
      <c r="B304" s="252" t="s">
        <v>1048</v>
      </c>
      <c r="C304" s="252">
        <v>3158</v>
      </c>
      <c r="D304" s="252" t="s">
        <v>1130</v>
      </c>
      <c r="E304" s="252">
        <v>12</v>
      </c>
      <c r="F304" s="252">
        <v>0</v>
      </c>
    </row>
    <row r="305" spans="1:6" x14ac:dyDescent="0.35">
      <c r="A305" s="252" t="s">
        <v>964</v>
      </c>
      <c r="B305" s="252" t="s">
        <v>1048</v>
      </c>
      <c r="C305" s="252">
        <v>7927</v>
      </c>
      <c r="D305" s="252" t="s">
        <v>1200</v>
      </c>
      <c r="E305" s="252">
        <v>12</v>
      </c>
      <c r="F305" s="252">
        <v>0</v>
      </c>
    </row>
    <row r="306" spans="1:6" x14ac:dyDescent="0.35">
      <c r="A306" s="252" t="s">
        <v>964</v>
      </c>
      <c r="B306" s="252" t="s">
        <v>1039</v>
      </c>
      <c r="C306" s="252">
        <v>701</v>
      </c>
      <c r="D306" s="252" t="s">
        <v>1110</v>
      </c>
      <c r="E306" s="252">
        <v>12</v>
      </c>
      <c r="F306" s="252">
        <v>0</v>
      </c>
    </row>
    <row r="307" spans="1:6" x14ac:dyDescent="0.35">
      <c r="A307" s="252" t="s">
        <v>964</v>
      </c>
      <c r="B307" s="252" t="s">
        <v>1001</v>
      </c>
      <c r="C307" s="252">
        <v>1410</v>
      </c>
      <c r="D307" s="252" t="s">
        <v>3507</v>
      </c>
      <c r="E307" s="252">
        <v>12</v>
      </c>
      <c r="F307" s="252">
        <v>0</v>
      </c>
    </row>
    <row r="308" spans="1:6" x14ac:dyDescent="0.35">
      <c r="A308" s="252" t="s">
        <v>964</v>
      </c>
      <c r="B308" s="252" t="s">
        <v>1089</v>
      </c>
      <c r="C308" s="252">
        <v>2919</v>
      </c>
      <c r="D308" s="252" t="s">
        <v>1162</v>
      </c>
      <c r="E308" s="252">
        <v>12</v>
      </c>
      <c r="F308" s="252">
        <v>0</v>
      </c>
    </row>
    <row r="309" spans="1:6" x14ac:dyDescent="0.35">
      <c r="A309" s="252" t="s">
        <v>964</v>
      </c>
      <c r="B309" s="252" t="s">
        <v>1011</v>
      </c>
      <c r="C309" s="252">
        <v>2919</v>
      </c>
      <c r="D309" s="252" t="s">
        <v>1162</v>
      </c>
      <c r="E309" s="252">
        <v>12</v>
      </c>
      <c r="F309" s="252">
        <v>0</v>
      </c>
    </row>
    <row r="310" spans="1:6" x14ac:dyDescent="0.35">
      <c r="A310" s="252" t="s">
        <v>964</v>
      </c>
      <c r="B310" s="252" t="s">
        <v>1011</v>
      </c>
      <c r="C310" s="252">
        <v>1005</v>
      </c>
      <c r="D310" s="252" t="s">
        <v>1172</v>
      </c>
      <c r="E310" s="252">
        <v>12</v>
      </c>
      <c r="F310" s="252">
        <v>0</v>
      </c>
    </row>
    <row r="311" spans="1:6" x14ac:dyDescent="0.35">
      <c r="A311" s="252" t="s">
        <v>964</v>
      </c>
      <c r="B311" s="252" t="s">
        <v>1002</v>
      </c>
      <c r="C311" s="252" t="s">
        <v>1189</v>
      </c>
      <c r="D311" s="252" t="s">
        <v>1189</v>
      </c>
      <c r="E311" s="252">
        <v>12</v>
      </c>
      <c r="F311" s="252">
        <v>0</v>
      </c>
    </row>
    <row r="312" spans="1:6" x14ac:dyDescent="0.35">
      <c r="A312" s="252" t="s">
        <v>964</v>
      </c>
      <c r="B312" s="252" t="s">
        <v>1008</v>
      </c>
      <c r="C312" s="252" t="s">
        <v>1152</v>
      </c>
      <c r="D312" s="252" t="s">
        <v>1152</v>
      </c>
      <c r="E312" s="252">
        <v>12</v>
      </c>
      <c r="F312" s="252">
        <v>0</v>
      </c>
    </row>
    <row r="313" spans="1:6" x14ac:dyDescent="0.35">
      <c r="A313" s="252" t="s">
        <v>964</v>
      </c>
      <c r="B313" s="252" t="s">
        <v>1008</v>
      </c>
      <c r="C313" s="252">
        <v>712</v>
      </c>
      <c r="D313" s="252" t="s">
        <v>1158</v>
      </c>
      <c r="E313" s="252">
        <v>12</v>
      </c>
      <c r="F313" s="252">
        <v>0</v>
      </c>
    </row>
    <row r="314" spans="1:6" x14ac:dyDescent="0.35">
      <c r="A314" s="252" t="s">
        <v>964</v>
      </c>
      <c r="B314" s="252" t="s">
        <v>1009</v>
      </c>
      <c r="C314" s="252" t="s">
        <v>1178</v>
      </c>
      <c r="D314" s="252" t="s">
        <v>1178</v>
      </c>
      <c r="E314" s="252">
        <v>12</v>
      </c>
      <c r="F314" s="252">
        <v>0</v>
      </c>
    </row>
    <row r="315" spans="1:6" x14ac:dyDescent="0.35">
      <c r="A315" s="252" t="s">
        <v>964</v>
      </c>
      <c r="B315" s="252" t="s">
        <v>1009</v>
      </c>
      <c r="C315" s="252" t="s">
        <v>1124</v>
      </c>
      <c r="D315" s="252" t="s">
        <v>1124</v>
      </c>
      <c r="E315" s="252">
        <v>12</v>
      </c>
      <c r="F315" s="252">
        <v>0</v>
      </c>
    </row>
    <row r="316" spans="1:6" x14ac:dyDescent="0.35">
      <c r="A316" s="252" t="s">
        <v>964</v>
      </c>
      <c r="B316" s="252" t="s">
        <v>1009</v>
      </c>
      <c r="C316" s="252" t="s">
        <v>1138</v>
      </c>
      <c r="D316" s="252" t="s">
        <v>1138</v>
      </c>
      <c r="E316" s="252">
        <v>12</v>
      </c>
      <c r="F316" s="252">
        <v>0</v>
      </c>
    </row>
    <row r="317" spans="1:6" x14ac:dyDescent="0.35">
      <c r="A317" s="252" t="s">
        <v>964</v>
      </c>
      <c r="B317" s="252" t="s">
        <v>1009</v>
      </c>
      <c r="C317" s="252">
        <v>1702</v>
      </c>
      <c r="D317" s="252" t="s">
        <v>1130</v>
      </c>
      <c r="E317" s="252">
        <v>12</v>
      </c>
      <c r="F317" s="252">
        <v>0</v>
      </c>
    </row>
    <row r="318" spans="1:6" x14ac:dyDescent="0.35">
      <c r="A318" s="252" t="s">
        <v>964</v>
      </c>
      <c r="B318" s="252" t="s">
        <v>1009</v>
      </c>
      <c r="C318" s="252">
        <v>401</v>
      </c>
      <c r="D318" s="252" t="s">
        <v>1152</v>
      </c>
      <c r="E318" s="252">
        <v>12</v>
      </c>
      <c r="F318" s="252">
        <v>0</v>
      </c>
    </row>
    <row r="319" spans="1:6" x14ac:dyDescent="0.35">
      <c r="A319" s="252" t="s">
        <v>964</v>
      </c>
      <c r="B319" s="252" t="s">
        <v>1009</v>
      </c>
      <c r="C319" s="252">
        <v>712</v>
      </c>
      <c r="D319" s="252" t="s">
        <v>1158</v>
      </c>
      <c r="E319" s="252">
        <v>12</v>
      </c>
      <c r="F319" s="252">
        <v>0</v>
      </c>
    </row>
    <row r="320" spans="1:6" x14ac:dyDescent="0.35">
      <c r="A320" s="252" t="s">
        <v>964</v>
      </c>
      <c r="B320" s="252" t="s">
        <v>972</v>
      </c>
      <c r="C320" s="252">
        <v>709</v>
      </c>
      <c r="D320" s="252" t="s">
        <v>1175</v>
      </c>
      <c r="E320" s="252">
        <v>12</v>
      </c>
      <c r="F320" s="252">
        <v>0</v>
      </c>
    </row>
    <row r="321" spans="1:6" x14ac:dyDescent="0.35">
      <c r="A321" s="252" t="s">
        <v>964</v>
      </c>
      <c r="B321" s="252" t="s">
        <v>1035</v>
      </c>
      <c r="C321" s="252">
        <v>1212</v>
      </c>
      <c r="D321" s="252" t="s">
        <v>1146</v>
      </c>
      <c r="E321" s="252">
        <v>12</v>
      </c>
      <c r="F321" s="252">
        <v>0</v>
      </c>
    </row>
    <row r="322" spans="1:6" x14ac:dyDescent="0.35">
      <c r="A322" s="252" t="s">
        <v>964</v>
      </c>
      <c r="B322" s="252" t="s">
        <v>1035</v>
      </c>
      <c r="C322" s="252" t="s">
        <v>1163</v>
      </c>
      <c r="D322" s="252" t="s">
        <v>1163</v>
      </c>
      <c r="E322" s="252">
        <v>12</v>
      </c>
      <c r="F322" s="252">
        <v>0</v>
      </c>
    </row>
    <row r="323" spans="1:6" x14ac:dyDescent="0.35">
      <c r="A323" s="252" t="s">
        <v>964</v>
      </c>
      <c r="B323" s="252" t="s">
        <v>1035</v>
      </c>
      <c r="C323" s="252" t="s">
        <v>1115</v>
      </c>
      <c r="D323" s="252" t="s">
        <v>1115</v>
      </c>
      <c r="E323" s="252">
        <v>12</v>
      </c>
      <c r="F323" s="252">
        <v>0</v>
      </c>
    </row>
    <row r="324" spans="1:6" x14ac:dyDescent="0.35">
      <c r="A324" s="252" t="s">
        <v>964</v>
      </c>
      <c r="B324" s="252" t="s">
        <v>1035</v>
      </c>
      <c r="C324" s="252" t="s">
        <v>1168</v>
      </c>
      <c r="D324" s="252" t="s">
        <v>1168</v>
      </c>
      <c r="E324" s="252">
        <v>12</v>
      </c>
      <c r="F324" s="252">
        <v>0</v>
      </c>
    </row>
    <row r="325" spans="1:6" x14ac:dyDescent="0.35">
      <c r="A325" s="252" t="s">
        <v>964</v>
      </c>
      <c r="B325" s="252" t="s">
        <v>1035</v>
      </c>
      <c r="C325" s="252">
        <v>709</v>
      </c>
      <c r="D325" s="252" t="s">
        <v>1175</v>
      </c>
      <c r="E325" s="252">
        <v>12</v>
      </c>
      <c r="F325" s="252">
        <v>0</v>
      </c>
    </row>
    <row r="326" spans="1:6" x14ac:dyDescent="0.35">
      <c r="A326" s="252" t="s">
        <v>963</v>
      </c>
      <c r="B326" s="252" t="s">
        <v>1043</v>
      </c>
      <c r="C326" s="252">
        <v>1602</v>
      </c>
      <c r="D326" s="252" t="s">
        <v>1144</v>
      </c>
      <c r="E326" s="252">
        <v>11</v>
      </c>
      <c r="F326" s="252">
        <v>0</v>
      </c>
    </row>
    <row r="327" spans="1:6" x14ac:dyDescent="0.35">
      <c r="A327" s="252" t="s">
        <v>3506</v>
      </c>
      <c r="B327" s="252" t="s">
        <v>1103</v>
      </c>
      <c r="C327" s="252">
        <v>2919</v>
      </c>
      <c r="D327" s="252" t="s">
        <v>1162</v>
      </c>
      <c r="E327" s="252">
        <v>11</v>
      </c>
      <c r="F327" s="252">
        <v>0</v>
      </c>
    </row>
    <row r="328" spans="1:6" x14ac:dyDescent="0.35">
      <c r="A328" s="252" t="s">
        <v>3506</v>
      </c>
      <c r="B328" s="252" t="s">
        <v>1005</v>
      </c>
      <c r="C328" s="252" t="s">
        <v>1163</v>
      </c>
      <c r="D328" s="252" t="s">
        <v>1163</v>
      </c>
      <c r="E328" s="252">
        <v>11</v>
      </c>
      <c r="F328" s="252">
        <v>0</v>
      </c>
    </row>
    <row r="329" spans="1:6" x14ac:dyDescent="0.35">
      <c r="A329" s="252" t="s">
        <v>3506</v>
      </c>
      <c r="B329" s="252" t="s">
        <v>1062</v>
      </c>
      <c r="C329" s="252">
        <v>3158</v>
      </c>
      <c r="D329" s="252" t="s">
        <v>1130</v>
      </c>
      <c r="E329" s="252">
        <v>11</v>
      </c>
      <c r="F329" s="252">
        <v>0</v>
      </c>
    </row>
    <row r="330" spans="1:6" x14ac:dyDescent="0.35">
      <c r="A330" s="252" t="s">
        <v>3506</v>
      </c>
      <c r="B330" s="252" t="s">
        <v>996</v>
      </c>
      <c r="C330" s="252" t="s">
        <v>1139</v>
      </c>
      <c r="D330" s="252" t="s">
        <v>1139</v>
      </c>
      <c r="E330" s="252">
        <v>11</v>
      </c>
      <c r="F330" s="252">
        <v>0</v>
      </c>
    </row>
    <row r="331" spans="1:6" x14ac:dyDescent="0.35">
      <c r="A331" s="252" t="s">
        <v>965</v>
      </c>
      <c r="B331" s="252" t="s">
        <v>991</v>
      </c>
      <c r="C331" s="252" t="s">
        <v>1163</v>
      </c>
      <c r="D331" s="252" t="s">
        <v>1163</v>
      </c>
      <c r="E331" s="252">
        <v>11</v>
      </c>
      <c r="F331" s="252">
        <v>0</v>
      </c>
    </row>
    <row r="332" spans="1:6" x14ac:dyDescent="0.35">
      <c r="A332" s="252" t="s">
        <v>965</v>
      </c>
      <c r="B332" s="252" t="s">
        <v>968</v>
      </c>
      <c r="C332" s="252" t="s">
        <v>1195</v>
      </c>
      <c r="D332" s="252" t="s">
        <v>1195</v>
      </c>
      <c r="E332" s="252">
        <v>11</v>
      </c>
      <c r="F332" s="252">
        <v>0</v>
      </c>
    </row>
    <row r="333" spans="1:6" x14ac:dyDescent="0.35">
      <c r="A333" s="252" t="s">
        <v>1220</v>
      </c>
      <c r="B333" s="252" t="s">
        <v>1059</v>
      </c>
      <c r="C333" s="252">
        <v>2684</v>
      </c>
      <c r="D333" s="252" t="s">
        <v>1114</v>
      </c>
      <c r="E333" s="252">
        <v>11</v>
      </c>
      <c r="F333" s="252">
        <v>0</v>
      </c>
    </row>
    <row r="334" spans="1:6" x14ac:dyDescent="0.35">
      <c r="A334" s="252" t="s">
        <v>964</v>
      </c>
      <c r="B334" s="252" t="s">
        <v>1006</v>
      </c>
      <c r="C334" s="252" t="s">
        <v>1174</v>
      </c>
      <c r="D334" s="252" t="s">
        <v>1174</v>
      </c>
      <c r="E334" s="252">
        <v>11</v>
      </c>
      <c r="F334" s="252">
        <v>0</v>
      </c>
    </row>
    <row r="335" spans="1:6" x14ac:dyDescent="0.35">
      <c r="A335" s="252" t="s">
        <v>964</v>
      </c>
      <c r="B335" s="252" t="s">
        <v>1034</v>
      </c>
      <c r="C335" s="252">
        <v>1702</v>
      </c>
      <c r="D335" s="252" t="s">
        <v>1130</v>
      </c>
      <c r="E335" s="252">
        <v>11</v>
      </c>
      <c r="F335" s="252">
        <v>0</v>
      </c>
    </row>
    <row r="336" spans="1:6" x14ac:dyDescent="0.35">
      <c r="A336" s="252" t="s">
        <v>964</v>
      </c>
      <c r="B336" s="252" t="s">
        <v>994</v>
      </c>
      <c r="C336" s="252">
        <v>2919</v>
      </c>
      <c r="D336" s="252" t="s">
        <v>1162</v>
      </c>
      <c r="E336" s="252">
        <v>11</v>
      </c>
      <c r="F336" s="252">
        <v>0</v>
      </c>
    </row>
    <row r="337" spans="1:6" x14ac:dyDescent="0.35">
      <c r="A337" s="252" t="s">
        <v>964</v>
      </c>
      <c r="B337" s="252" t="s">
        <v>994</v>
      </c>
      <c r="C337" s="252" t="s">
        <v>1133</v>
      </c>
      <c r="D337" s="252" t="s">
        <v>1133</v>
      </c>
      <c r="E337" s="252">
        <v>11</v>
      </c>
      <c r="F337" s="252">
        <v>0</v>
      </c>
    </row>
    <row r="338" spans="1:6" x14ac:dyDescent="0.35">
      <c r="A338" s="252" t="s">
        <v>964</v>
      </c>
      <c r="B338" s="252" t="s">
        <v>985</v>
      </c>
      <c r="C338" s="252" t="s">
        <v>1174</v>
      </c>
      <c r="D338" s="252" t="s">
        <v>1174</v>
      </c>
      <c r="E338" s="252">
        <v>11</v>
      </c>
      <c r="F338" s="252">
        <v>0</v>
      </c>
    </row>
    <row r="339" spans="1:6" x14ac:dyDescent="0.35">
      <c r="A339" s="252" t="s">
        <v>964</v>
      </c>
      <c r="B339" s="252" t="s">
        <v>1002</v>
      </c>
      <c r="C339" s="252" t="s">
        <v>1210</v>
      </c>
      <c r="D339" s="252" t="s">
        <v>1210</v>
      </c>
      <c r="E339" s="252">
        <v>11</v>
      </c>
      <c r="F339" s="252">
        <v>0</v>
      </c>
    </row>
    <row r="340" spans="1:6" x14ac:dyDescent="0.35">
      <c r="A340" s="252" t="s">
        <v>964</v>
      </c>
      <c r="B340" s="252" t="s">
        <v>1002</v>
      </c>
      <c r="C340" s="252" t="s">
        <v>1130</v>
      </c>
      <c r="D340" s="252" t="s">
        <v>1130</v>
      </c>
      <c r="E340" s="252">
        <v>11</v>
      </c>
      <c r="F340" s="252">
        <v>0</v>
      </c>
    </row>
    <row r="341" spans="1:6" x14ac:dyDescent="0.35">
      <c r="A341" s="252" t="s">
        <v>964</v>
      </c>
      <c r="B341" s="252" t="s">
        <v>1009</v>
      </c>
      <c r="C341" s="252">
        <v>3387</v>
      </c>
      <c r="D341" s="252" t="s">
        <v>1198</v>
      </c>
      <c r="E341" s="252">
        <v>11</v>
      </c>
      <c r="F341" s="252">
        <v>0</v>
      </c>
    </row>
    <row r="342" spans="1:6" x14ac:dyDescent="0.35">
      <c r="A342" s="252" t="s">
        <v>964</v>
      </c>
      <c r="B342" s="252" t="s">
        <v>1009</v>
      </c>
      <c r="C342" s="252" t="s">
        <v>1150</v>
      </c>
      <c r="D342" s="252" t="s">
        <v>1150</v>
      </c>
      <c r="E342" s="252">
        <v>11</v>
      </c>
      <c r="F342" s="252">
        <v>0</v>
      </c>
    </row>
    <row r="343" spans="1:6" x14ac:dyDescent="0.35">
      <c r="A343" s="252" t="s">
        <v>964</v>
      </c>
      <c r="B343" s="252" t="s">
        <v>1035</v>
      </c>
      <c r="C343" s="252">
        <v>1602</v>
      </c>
      <c r="D343" s="252" t="s">
        <v>1144</v>
      </c>
      <c r="E343" s="252">
        <v>11</v>
      </c>
      <c r="F343" s="252">
        <v>0</v>
      </c>
    </row>
    <row r="344" spans="1:6" x14ac:dyDescent="0.35">
      <c r="A344" s="252" t="s">
        <v>965</v>
      </c>
      <c r="B344" s="252" t="s">
        <v>1058</v>
      </c>
      <c r="C344" s="252" t="s">
        <v>1144</v>
      </c>
      <c r="D344" s="252" t="s">
        <v>1144</v>
      </c>
      <c r="E344" s="252">
        <v>10</v>
      </c>
      <c r="F344" s="252">
        <v>0</v>
      </c>
    </row>
    <row r="345" spans="1:6" x14ac:dyDescent="0.35">
      <c r="A345" s="252" t="s">
        <v>965</v>
      </c>
      <c r="B345" s="252" t="s">
        <v>992</v>
      </c>
      <c r="C345" s="252" t="s">
        <v>1163</v>
      </c>
      <c r="D345" s="252" t="s">
        <v>1163</v>
      </c>
      <c r="E345" s="252">
        <v>10</v>
      </c>
      <c r="F345" s="252">
        <v>0</v>
      </c>
    </row>
    <row r="346" spans="1:6" x14ac:dyDescent="0.35">
      <c r="A346" s="252" t="s">
        <v>965</v>
      </c>
      <c r="B346" s="252" t="s">
        <v>992</v>
      </c>
      <c r="C346" s="252" t="s">
        <v>1115</v>
      </c>
      <c r="D346" s="252" t="s">
        <v>1115</v>
      </c>
      <c r="E346" s="252">
        <v>10</v>
      </c>
      <c r="F346" s="252">
        <v>0</v>
      </c>
    </row>
    <row r="347" spans="1:6" x14ac:dyDescent="0.35">
      <c r="A347" s="252" t="s">
        <v>965</v>
      </c>
      <c r="B347" s="252" t="s">
        <v>992</v>
      </c>
      <c r="C347" s="252" t="s">
        <v>1110</v>
      </c>
      <c r="D347" s="252" t="s">
        <v>1110</v>
      </c>
      <c r="E347" s="252">
        <v>10</v>
      </c>
      <c r="F347" s="252">
        <v>0</v>
      </c>
    </row>
    <row r="348" spans="1:6" x14ac:dyDescent="0.35">
      <c r="A348" s="252" t="s">
        <v>1220</v>
      </c>
      <c r="B348" s="252" t="s">
        <v>1016</v>
      </c>
      <c r="C348" s="252" t="s">
        <v>1183</v>
      </c>
      <c r="D348" s="252" t="s">
        <v>1183</v>
      </c>
      <c r="E348" s="252">
        <v>10</v>
      </c>
      <c r="F348" s="252">
        <v>0</v>
      </c>
    </row>
    <row r="349" spans="1:6" x14ac:dyDescent="0.35">
      <c r="A349" s="252" t="s">
        <v>964</v>
      </c>
      <c r="B349" s="252" t="s">
        <v>994</v>
      </c>
      <c r="C349" s="252" t="s">
        <v>1162</v>
      </c>
      <c r="D349" s="252" t="s">
        <v>1162</v>
      </c>
      <c r="E349" s="252">
        <v>10</v>
      </c>
      <c r="F349" s="252">
        <v>0</v>
      </c>
    </row>
    <row r="350" spans="1:6" x14ac:dyDescent="0.35">
      <c r="A350" s="252" t="s">
        <v>964</v>
      </c>
      <c r="B350" s="252" t="s">
        <v>1000</v>
      </c>
      <c r="C350" s="252">
        <v>1701</v>
      </c>
      <c r="D350" s="252" t="s">
        <v>981</v>
      </c>
      <c r="E350" s="252">
        <v>10</v>
      </c>
      <c r="F350" s="252">
        <v>0</v>
      </c>
    </row>
    <row r="351" spans="1:6" x14ac:dyDescent="0.35">
      <c r="A351" s="252" t="s">
        <v>964</v>
      </c>
      <c r="B351" s="252" t="s">
        <v>1000</v>
      </c>
      <c r="C351" s="252" t="s">
        <v>1110</v>
      </c>
      <c r="D351" s="252" t="s">
        <v>1110</v>
      </c>
      <c r="E351" s="252">
        <v>10</v>
      </c>
      <c r="F351" s="252">
        <v>0</v>
      </c>
    </row>
    <row r="352" spans="1:6" x14ac:dyDescent="0.35">
      <c r="A352" s="252" t="s">
        <v>964</v>
      </c>
      <c r="B352" s="252" t="s">
        <v>1056</v>
      </c>
      <c r="C352" s="252" t="s">
        <v>1197</v>
      </c>
      <c r="D352" s="252" t="s">
        <v>1197</v>
      </c>
      <c r="E352" s="252">
        <v>10</v>
      </c>
      <c r="F352" s="252">
        <v>0</v>
      </c>
    </row>
    <row r="353" spans="1:6" x14ac:dyDescent="0.35">
      <c r="A353" s="252" t="s">
        <v>964</v>
      </c>
      <c r="B353" s="252" t="s">
        <v>985</v>
      </c>
      <c r="C353" s="252" t="s">
        <v>1123</v>
      </c>
      <c r="D353" s="252" t="s">
        <v>1123</v>
      </c>
      <c r="E353" s="252">
        <v>10</v>
      </c>
      <c r="F353" s="252">
        <v>0</v>
      </c>
    </row>
    <row r="354" spans="1:6" x14ac:dyDescent="0.35">
      <c r="A354" s="252" t="s">
        <v>964</v>
      </c>
      <c r="B354" s="252" t="s">
        <v>1009</v>
      </c>
      <c r="C354" s="252">
        <v>1006</v>
      </c>
      <c r="D354" s="252" t="s">
        <v>1188</v>
      </c>
      <c r="E354" s="252">
        <v>10</v>
      </c>
      <c r="F354" s="252">
        <v>0</v>
      </c>
    </row>
    <row r="355" spans="1:6" x14ac:dyDescent="0.35">
      <c r="A355" s="252" t="s">
        <v>964</v>
      </c>
      <c r="B355" s="252" t="s">
        <v>972</v>
      </c>
      <c r="C355" s="252" t="s">
        <v>1175</v>
      </c>
      <c r="D355" s="252" t="s">
        <v>1175</v>
      </c>
      <c r="E355" s="252">
        <v>10</v>
      </c>
      <c r="F355" s="252">
        <v>0</v>
      </c>
    </row>
    <row r="356" spans="1:6" x14ac:dyDescent="0.35">
      <c r="A356" s="252" t="s">
        <v>964</v>
      </c>
      <c r="B356" s="252" t="s">
        <v>1029</v>
      </c>
      <c r="C356" s="252" t="s">
        <v>1210</v>
      </c>
      <c r="D356" s="252" t="s">
        <v>1163</v>
      </c>
      <c r="E356" s="252">
        <v>10</v>
      </c>
      <c r="F356" s="252">
        <v>0</v>
      </c>
    </row>
    <row r="357" spans="1:6" x14ac:dyDescent="0.35">
      <c r="A357" s="252" t="s">
        <v>963</v>
      </c>
      <c r="B357" s="252" t="s">
        <v>1003</v>
      </c>
      <c r="C357" s="252" t="s">
        <v>1129</v>
      </c>
      <c r="D357" s="252" t="s">
        <v>1129</v>
      </c>
      <c r="E357" s="252">
        <v>9</v>
      </c>
      <c r="F357" s="252">
        <v>0</v>
      </c>
    </row>
    <row r="358" spans="1:6" x14ac:dyDescent="0.35">
      <c r="A358" s="252" t="s">
        <v>3506</v>
      </c>
      <c r="B358" s="252" t="s">
        <v>1106</v>
      </c>
      <c r="C358" s="252">
        <v>2800</v>
      </c>
      <c r="D358" s="252" t="s">
        <v>1139</v>
      </c>
      <c r="E358" s="252">
        <v>9</v>
      </c>
      <c r="F358" s="252">
        <v>0</v>
      </c>
    </row>
    <row r="359" spans="1:6" x14ac:dyDescent="0.35">
      <c r="A359" s="252" t="s">
        <v>3506</v>
      </c>
      <c r="B359" s="252" t="s">
        <v>1067</v>
      </c>
      <c r="C359" s="252">
        <v>2919</v>
      </c>
      <c r="D359" s="252" t="s">
        <v>1162</v>
      </c>
      <c r="E359" s="252">
        <v>9</v>
      </c>
      <c r="F359" s="252">
        <v>0</v>
      </c>
    </row>
    <row r="360" spans="1:6" x14ac:dyDescent="0.35">
      <c r="A360" s="252" t="s">
        <v>965</v>
      </c>
      <c r="B360" s="252" t="s">
        <v>1073</v>
      </c>
      <c r="C360" s="252" t="s">
        <v>1163</v>
      </c>
      <c r="D360" s="252" t="s">
        <v>1163</v>
      </c>
      <c r="E360" s="252">
        <v>9</v>
      </c>
      <c r="F360" s="252">
        <v>0</v>
      </c>
    </row>
    <row r="361" spans="1:6" x14ac:dyDescent="0.35">
      <c r="A361" s="252" t="s">
        <v>965</v>
      </c>
      <c r="B361" s="252" t="s">
        <v>1058</v>
      </c>
      <c r="C361" s="252" t="s">
        <v>1152</v>
      </c>
      <c r="D361" s="252" t="s">
        <v>1152</v>
      </c>
      <c r="E361" s="252">
        <v>9</v>
      </c>
      <c r="F361" s="252">
        <v>0</v>
      </c>
    </row>
    <row r="362" spans="1:6" x14ac:dyDescent="0.35">
      <c r="A362" s="252" t="s">
        <v>965</v>
      </c>
      <c r="B362" s="252" t="s">
        <v>992</v>
      </c>
      <c r="C362" s="252" t="s">
        <v>1206</v>
      </c>
      <c r="D362" s="252" t="s">
        <v>1206</v>
      </c>
      <c r="E362" s="252">
        <v>9</v>
      </c>
      <c r="F362" s="252">
        <v>0</v>
      </c>
    </row>
    <row r="363" spans="1:6" x14ac:dyDescent="0.35">
      <c r="A363" s="252" t="s">
        <v>965</v>
      </c>
      <c r="B363" s="252" t="s">
        <v>992</v>
      </c>
      <c r="C363" s="252">
        <v>5232000</v>
      </c>
      <c r="D363" s="252" t="s">
        <v>1188</v>
      </c>
      <c r="E363" s="252">
        <v>9</v>
      </c>
      <c r="F363" s="252">
        <v>0</v>
      </c>
    </row>
    <row r="364" spans="1:6" x14ac:dyDescent="0.35">
      <c r="A364" s="252" t="s">
        <v>964</v>
      </c>
      <c r="B364" s="252" t="s">
        <v>1061</v>
      </c>
      <c r="C364" s="252">
        <v>304</v>
      </c>
      <c r="D364" s="252" t="s">
        <v>1195</v>
      </c>
      <c r="E364" s="252">
        <v>9</v>
      </c>
      <c r="F364" s="252">
        <v>0</v>
      </c>
    </row>
    <row r="365" spans="1:6" x14ac:dyDescent="0.35">
      <c r="A365" s="252" t="s">
        <v>964</v>
      </c>
      <c r="B365" s="252" t="s">
        <v>1015</v>
      </c>
      <c r="C365" s="252" t="s">
        <v>1211</v>
      </c>
      <c r="D365" s="252" t="s">
        <v>1211</v>
      </c>
      <c r="E365" s="252">
        <v>9</v>
      </c>
      <c r="F365" s="252">
        <v>0</v>
      </c>
    </row>
    <row r="366" spans="1:6" x14ac:dyDescent="0.35">
      <c r="A366" s="252" t="s">
        <v>964</v>
      </c>
      <c r="B366" s="252" t="s">
        <v>994</v>
      </c>
      <c r="C366" s="252" t="s">
        <v>3507</v>
      </c>
      <c r="D366" s="252" t="s">
        <v>3507</v>
      </c>
      <c r="E366" s="252">
        <v>9</v>
      </c>
      <c r="F366" s="252">
        <v>0</v>
      </c>
    </row>
    <row r="367" spans="1:6" x14ac:dyDescent="0.35">
      <c r="A367" s="252" t="s">
        <v>964</v>
      </c>
      <c r="B367" s="252" t="s">
        <v>1008</v>
      </c>
      <c r="C367" s="252">
        <v>709</v>
      </c>
      <c r="D367" s="252" t="s">
        <v>1175</v>
      </c>
      <c r="E367" s="252">
        <v>9</v>
      </c>
      <c r="F367" s="252">
        <v>0</v>
      </c>
    </row>
    <row r="368" spans="1:6" x14ac:dyDescent="0.35">
      <c r="A368" s="252" t="s">
        <v>964</v>
      </c>
      <c r="B368" s="252" t="s">
        <v>1008</v>
      </c>
      <c r="C368" s="252" t="s">
        <v>3500</v>
      </c>
      <c r="D368" s="252" t="s">
        <v>1163</v>
      </c>
      <c r="E368" s="252">
        <v>9</v>
      </c>
      <c r="F368" s="252">
        <v>0</v>
      </c>
    </row>
    <row r="369" spans="1:6" x14ac:dyDescent="0.35">
      <c r="A369" s="252" t="s">
        <v>964</v>
      </c>
      <c r="B369" s="252" t="s">
        <v>1009</v>
      </c>
      <c r="C369" s="252" t="s">
        <v>3508</v>
      </c>
      <c r="D369" s="252" t="s">
        <v>3508</v>
      </c>
      <c r="E369" s="252">
        <v>9</v>
      </c>
      <c r="F369" s="252">
        <v>0</v>
      </c>
    </row>
    <row r="370" spans="1:6" x14ac:dyDescent="0.35">
      <c r="A370" s="252" t="s">
        <v>964</v>
      </c>
      <c r="B370" s="252" t="s">
        <v>1035</v>
      </c>
      <c r="C370" s="252">
        <v>401</v>
      </c>
      <c r="D370" s="252" t="s">
        <v>1152</v>
      </c>
      <c r="E370" s="252">
        <v>9</v>
      </c>
      <c r="F370" s="252">
        <v>0</v>
      </c>
    </row>
    <row r="371" spans="1:6" x14ac:dyDescent="0.35">
      <c r="A371" s="252" t="s">
        <v>963</v>
      </c>
      <c r="B371" s="252" t="s">
        <v>995</v>
      </c>
      <c r="C371" s="252" t="s">
        <v>1151</v>
      </c>
      <c r="D371" s="252" t="s">
        <v>1151</v>
      </c>
      <c r="E371" s="252">
        <v>8</v>
      </c>
      <c r="F371" s="252">
        <v>0</v>
      </c>
    </row>
    <row r="372" spans="1:6" x14ac:dyDescent="0.35">
      <c r="A372" s="252" t="s">
        <v>963</v>
      </c>
      <c r="B372" s="252" t="s">
        <v>1003</v>
      </c>
      <c r="C372" s="252" t="s">
        <v>1200</v>
      </c>
      <c r="D372" s="252" t="s">
        <v>1200</v>
      </c>
      <c r="E372" s="252">
        <v>8</v>
      </c>
      <c r="F372" s="252">
        <v>0</v>
      </c>
    </row>
    <row r="373" spans="1:6" x14ac:dyDescent="0.35">
      <c r="A373" s="252" t="s">
        <v>963</v>
      </c>
      <c r="B373" s="252" t="s">
        <v>1003</v>
      </c>
      <c r="C373" s="252">
        <v>1102</v>
      </c>
      <c r="D373" s="252" t="s">
        <v>1120</v>
      </c>
      <c r="E373" s="252">
        <v>8</v>
      </c>
      <c r="F373" s="252">
        <v>0</v>
      </c>
    </row>
    <row r="374" spans="1:6" x14ac:dyDescent="0.35">
      <c r="A374" s="252" t="s">
        <v>3506</v>
      </c>
      <c r="B374" s="252" t="s">
        <v>1025</v>
      </c>
      <c r="C374" s="252">
        <v>1602</v>
      </c>
      <c r="D374" s="252" t="s">
        <v>1144</v>
      </c>
      <c r="E374" s="252">
        <v>8</v>
      </c>
      <c r="F374" s="252">
        <v>0</v>
      </c>
    </row>
    <row r="375" spans="1:6" x14ac:dyDescent="0.35">
      <c r="A375" s="252" t="s">
        <v>1220</v>
      </c>
      <c r="B375" s="252" t="s">
        <v>1007</v>
      </c>
      <c r="C375" s="252">
        <v>2684</v>
      </c>
      <c r="D375" s="252" t="s">
        <v>1114</v>
      </c>
      <c r="E375" s="252">
        <v>8</v>
      </c>
      <c r="F375" s="252">
        <v>0</v>
      </c>
    </row>
    <row r="376" spans="1:6" x14ac:dyDescent="0.35">
      <c r="A376" s="252" t="s">
        <v>1220</v>
      </c>
      <c r="B376" s="252" t="s">
        <v>1007</v>
      </c>
      <c r="C376" s="252">
        <v>2800</v>
      </c>
      <c r="D376" s="252" t="s">
        <v>1139</v>
      </c>
      <c r="E376" s="252">
        <v>8</v>
      </c>
      <c r="F376" s="252">
        <v>0</v>
      </c>
    </row>
    <row r="377" spans="1:6" x14ac:dyDescent="0.35">
      <c r="A377" s="252" t="s">
        <v>1220</v>
      </c>
      <c r="B377" s="252" t="s">
        <v>1007</v>
      </c>
      <c r="C377" s="252">
        <v>2919</v>
      </c>
      <c r="D377" s="252" t="s">
        <v>1162</v>
      </c>
      <c r="E377" s="252">
        <v>8</v>
      </c>
      <c r="F377" s="252">
        <v>0</v>
      </c>
    </row>
    <row r="378" spans="1:6" x14ac:dyDescent="0.35">
      <c r="A378" s="252" t="s">
        <v>1220</v>
      </c>
      <c r="B378" s="252" t="s">
        <v>1059</v>
      </c>
      <c r="C378" s="252">
        <v>2881</v>
      </c>
      <c r="D378" s="252" t="s">
        <v>1181</v>
      </c>
      <c r="E378" s="252">
        <v>8</v>
      </c>
      <c r="F378" s="252">
        <v>0</v>
      </c>
    </row>
    <row r="379" spans="1:6" x14ac:dyDescent="0.35">
      <c r="A379" s="252" t="s">
        <v>964</v>
      </c>
      <c r="B379" s="252" t="s">
        <v>1006</v>
      </c>
      <c r="C379" s="252" t="s">
        <v>1110</v>
      </c>
      <c r="D379" s="252" t="s">
        <v>1110</v>
      </c>
      <c r="E379" s="252">
        <v>8</v>
      </c>
      <c r="F379" s="252">
        <v>0</v>
      </c>
    </row>
    <row r="380" spans="1:6" x14ac:dyDescent="0.35">
      <c r="A380" s="252" t="s">
        <v>964</v>
      </c>
      <c r="B380" s="252" t="s">
        <v>1015</v>
      </c>
      <c r="C380" s="252" t="s">
        <v>1189</v>
      </c>
      <c r="D380" s="252" t="s">
        <v>1189</v>
      </c>
      <c r="E380" s="252">
        <v>8</v>
      </c>
      <c r="F380" s="252">
        <v>0</v>
      </c>
    </row>
    <row r="381" spans="1:6" x14ac:dyDescent="0.35">
      <c r="A381" s="252" t="s">
        <v>964</v>
      </c>
      <c r="B381" s="252" t="s">
        <v>1015</v>
      </c>
      <c r="C381" s="252" t="s">
        <v>1142</v>
      </c>
      <c r="D381" s="252" t="s">
        <v>1142</v>
      </c>
      <c r="E381" s="252">
        <v>8</v>
      </c>
      <c r="F381" s="252">
        <v>0</v>
      </c>
    </row>
    <row r="382" spans="1:6" x14ac:dyDescent="0.35">
      <c r="A382" s="252" t="s">
        <v>964</v>
      </c>
      <c r="B382" s="252" t="s">
        <v>1034</v>
      </c>
      <c r="C382" s="252">
        <v>1401</v>
      </c>
      <c r="D382" s="252" t="s">
        <v>1163</v>
      </c>
      <c r="E382" s="252">
        <v>8</v>
      </c>
      <c r="F382" s="252">
        <v>0</v>
      </c>
    </row>
    <row r="383" spans="1:6" x14ac:dyDescent="0.35">
      <c r="A383" s="252" t="s">
        <v>964</v>
      </c>
      <c r="B383" s="252" t="s">
        <v>1001</v>
      </c>
      <c r="C383" s="252">
        <v>1401</v>
      </c>
      <c r="D383" s="252" t="s">
        <v>1163</v>
      </c>
      <c r="E383" s="252">
        <v>8</v>
      </c>
      <c r="F383" s="252">
        <v>0</v>
      </c>
    </row>
    <row r="384" spans="1:6" x14ac:dyDescent="0.35">
      <c r="A384" s="252" t="s">
        <v>964</v>
      </c>
      <c r="B384" s="252" t="s">
        <v>1032</v>
      </c>
      <c r="C384" s="252" t="s">
        <v>1210</v>
      </c>
      <c r="D384" s="252" t="s">
        <v>1163</v>
      </c>
      <c r="E384" s="252">
        <v>8</v>
      </c>
      <c r="F384" s="252">
        <v>0</v>
      </c>
    </row>
    <row r="385" spans="1:6" x14ac:dyDescent="0.35">
      <c r="A385" s="252" t="s">
        <v>964</v>
      </c>
      <c r="B385" s="252" t="s">
        <v>985</v>
      </c>
      <c r="C385" s="252" t="s">
        <v>1163</v>
      </c>
      <c r="D385" s="252" t="s">
        <v>1163</v>
      </c>
      <c r="E385" s="252">
        <v>8</v>
      </c>
      <c r="F385" s="252">
        <v>0</v>
      </c>
    </row>
    <row r="386" spans="1:6" x14ac:dyDescent="0.35">
      <c r="A386" s="252" t="s">
        <v>964</v>
      </c>
      <c r="B386" s="252" t="s">
        <v>985</v>
      </c>
      <c r="C386" s="252">
        <v>703</v>
      </c>
      <c r="D386" s="252" t="s">
        <v>1174</v>
      </c>
      <c r="E386" s="252">
        <v>8</v>
      </c>
      <c r="F386" s="252">
        <v>0</v>
      </c>
    </row>
    <row r="387" spans="1:6" x14ac:dyDescent="0.35">
      <c r="A387" s="252" t="s">
        <v>964</v>
      </c>
      <c r="B387" s="252" t="s">
        <v>1011</v>
      </c>
      <c r="C387" s="252" t="s">
        <v>1133</v>
      </c>
      <c r="D387" s="252" t="s">
        <v>1133</v>
      </c>
      <c r="E387" s="252">
        <v>8</v>
      </c>
      <c r="F387" s="252">
        <v>0</v>
      </c>
    </row>
    <row r="388" spans="1:6" x14ac:dyDescent="0.35">
      <c r="A388" s="252" t="s">
        <v>964</v>
      </c>
      <c r="B388" s="252" t="s">
        <v>1011</v>
      </c>
      <c r="C388" s="252">
        <v>1709</v>
      </c>
      <c r="D388" s="252" t="s">
        <v>1167</v>
      </c>
      <c r="E388" s="252">
        <v>8</v>
      </c>
      <c r="F388" s="252">
        <v>0</v>
      </c>
    </row>
    <row r="389" spans="1:6" x14ac:dyDescent="0.35">
      <c r="A389" s="252" t="s">
        <v>964</v>
      </c>
      <c r="B389" s="252" t="s">
        <v>1009</v>
      </c>
      <c r="C389" s="252" t="s">
        <v>1172</v>
      </c>
      <c r="D389" s="252" t="s">
        <v>1172</v>
      </c>
      <c r="E389" s="252">
        <v>8</v>
      </c>
      <c r="F389" s="252">
        <v>0</v>
      </c>
    </row>
    <row r="390" spans="1:6" x14ac:dyDescent="0.35">
      <c r="A390" s="252" t="s">
        <v>964</v>
      </c>
      <c r="B390" s="252" t="s">
        <v>1009</v>
      </c>
      <c r="C390" s="252">
        <v>1005</v>
      </c>
      <c r="D390" s="252" t="s">
        <v>1172</v>
      </c>
      <c r="E390" s="252">
        <v>8</v>
      </c>
      <c r="F390" s="252">
        <v>0</v>
      </c>
    </row>
    <row r="391" spans="1:6" x14ac:dyDescent="0.35">
      <c r="A391" s="252" t="s">
        <v>964</v>
      </c>
      <c r="B391" s="252" t="s">
        <v>1009</v>
      </c>
      <c r="C391" s="252">
        <v>902</v>
      </c>
      <c r="D391" s="252" t="s">
        <v>1186</v>
      </c>
      <c r="E391" s="252">
        <v>8</v>
      </c>
      <c r="F391" s="252">
        <v>0</v>
      </c>
    </row>
    <row r="392" spans="1:6" x14ac:dyDescent="0.35">
      <c r="A392" s="252" t="s">
        <v>964</v>
      </c>
      <c r="B392" s="252" t="s">
        <v>1009</v>
      </c>
      <c r="C392" s="252" t="s">
        <v>3501</v>
      </c>
      <c r="D392" s="252" t="s">
        <v>3501</v>
      </c>
      <c r="E392" s="252">
        <v>8</v>
      </c>
      <c r="F392" s="252">
        <v>0</v>
      </c>
    </row>
    <row r="393" spans="1:6" x14ac:dyDescent="0.35">
      <c r="A393" s="252" t="s">
        <v>964</v>
      </c>
      <c r="B393" s="252" t="s">
        <v>972</v>
      </c>
      <c r="C393" s="252" t="s">
        <v>1215</v>
      </c>
      <c r="D393" s="252" t="s">
        <v>1215</v>
      </c>
      <c r="E393" s="252">
        <v>8</v>
      </c>
      <c r="F393" s="252">
        <v>0</v>
      </c>
    </row>
    <row r="394" spans="1:6" x14ac:dyDescent="0.35">
      <c r="A394" s="252" t="s">
        <v>964</v>
      </c>
      <c r="B394" s="252" t="s">
        <v>1035</v>
      </c>
      <c r="C394" s="252">
        <v>3980</v>
      </c>
      <c r="D394" s="252" t="s">
        <v>981</v>
      </c>
      <c r="E394" s="252">
        <v>8</v>
      </c>
      <c r="F394" s="252">
        <v>0</v>
      </c>
    </row>
    <row r="395" spans="1:6" x14ac:dyDescent="0.35">
      <c r="A395" s="252" t="s">
        <v>964</v>
      </c>
      <c r="B395" s="252" t="s">
        <v>1035</v>
      </c>
      <c r="C395" s="252" t="s">
        <v>1124</v>
      </c>
      <c r="D395" s="252" t="s">
        <v>1124</v>
      </c>
      <c r="E395" s="252">
        <v>8</v>
      </c>
      <c r="F395" s="252">
        <v>0</v>
      </c>
    </row>
    <row r="396" spans="1:6" x14ac:dyDescent="0.35">
      <c r="A396" s="252" t="s">
        <v>964</v>
      </c>
      <c r="B396" s="252" t="s">
        <v>1035</v>
      </c>
      <c r="C396" s="252">
        <v>1709</v>
      </c>
      <c r="D396" s="252" t="s">
        <v>1167</v>
      </c>
      <c r="E396" s="252">
        <v>8</v>
      </c>
      <c r="F396" s="252">
        <v>0</v>
      </c>
    </row>
    <row r="397" spans="1:6" x14ac:dyDescent="0.35">
      <c r="A397" s="252" t="s">
        <v>964</v>
      </c>
      <c r="B397" s="252" t="s">
        <v>1035</v>
      </c>
      <c r="C397" s="252" t="s">
        <v>1141</v>
      </c>
      <c r="D397" s="252" t="s">
        <v>1141</v>
      </c>
      <c r="E397" s="252">
        <v>8</v>
      </c>
      <c r="F397" s="252">
        <v>0</v>
      </c>
    </row>
    <row r="398" spans="1:6" x14ac:dyDescent="0.35">
      <c r="A398" s="252" t="s">
        <v>963</v>
      </c>
      <c r="B398" s="252" t="s">
        <v>995</v>
      </c>
      <c r="C398" s="252" t="s">
        <v>1171</v>
      </c>
      <c r="D398" s="252" t="s">
        <v>1171</v>
      </c>
      <c r="E398" s="252">
        <v>7</v>
      </c>
      <c r="F398" s="252">
        <v>0</v>
      </c>
    </row>
    <row r="399" spans="1:6" x14ac:dyDescent="0.35">
      <c r="A399" s="252" t="s">
        <v>963</v>
      </c>
      <c r="B399" s="252" t="s">
        <v>995</v>
      </c>
      <c r="C399" s="252" t="s">
        <v>1127</v>
      </c>
      <c r="D399" s="252" t="s">
        <v>1127</v>
      </c>
      <c r="E399" s="252">
        <v>7</v>
      </c>
      <c r="F399" s="252">
        <v>0</v>
      </c>
    </row>
    <row r="400" spans="1:6" x14ac:dyDescent="0.35">
      <c r="A400" s="252" t="s">
        <v>963</v>
      </c>
      <c r="B400" s="252" t="s">
        <v>995</v>
      </c>
      <c r="C400" s="252" t="s">
        <v>1180</v>
      </c>
      <c r="D400" s="252" t="s">
        <v>1180</v>
      </c>
      <c r="E400" s="252">
        <v>7</v>
      </c>
      <c r="F400" s="252">
        <v>0</v>
      </c>
    </row>
    <row r="401" spans="1:6" x14ac:dyDescent="0.35">
      <c r="A401" s="252" t="s">
        <v>963</v>
      </c>
      <c r="B401" s="252" t="s">
        <v>1003</v>
      </c>
      <c r="C401" s="252">
        <v>3220</v>
      </c>
      <c r="D401" s="252" t="s">
        <v>1183</v>
      </c>
      <c r="E401" s="252">
        <v>7</v>
      </c>
      <c r="F401" s="252">
        <v>0</v>
      </c>
    </row>
    <row r="402" spans="1:6" x14ac:dyDescent="0.35">
      <c r="A402" s="252" t="s">
        <v>963</v>
      </c>
      <c r="B402" s="252" t="s">
        <v>1003</v>
      </c>
      <c r="C402" s="252" t="s">
        <v>1118</v>
      </c>
      <c r="D402" s="252" t="s">
        <v>1118</v>
      </c>
      <c r="E402" s="252">
        <v>7</v>
      </c>
      <c r="F402" s="252">
        <v>0</v>
      </c>
    </row>
    <row r="403" spans="1:6" x14ac:dyDescent="0.35">
      <c r="A403" s="252" t="s">
        <v>3506</v>
      </c>
      <c r="B403" s="252" t="s">
        <v>3469</v>
      </c>
      <c r="C403" s="252" t="s">
        <v>1215</v>
      </c>
      <c r="D403" s="252" t="s">
        <v>1215</v>
      </c>
      <c r="E403" s="252">
        <v>7</v>
      </c>
      <c r="F403" s="252">
        <v>0</v>
      </c>
    </row>
    <row r="404" spans="1:6" x14ac:dyDescent="0.35">
      <c r="A404" s="252" t="s">
        <v>3506</v>
      </c>
      <c r="B404" s="252" t="s">
        <v>3472</v>
      </c>
      <c r="C404" s="252">
        <v>1401</v>
      </c>
      <c r="D404" s="252" t="s">
        <v>1163</v>
      </c>
      <c r="E404" s="252">
        <v>7</v>
      </c>
      <c r="F404" s="252">
        <v>0</v>
      </c>
    </row>
    <row r="405" spans="1:6" x14ac:dyDescent="0.35">
      <c r="A405" s="252" t="s">
        <v>3506</v>
      </c>
      <c r="B405" s="252" t="s">
        <v>996</v>
      </c>
      <c r="C405" s="252" t="s">
        <v>1210</v>
      </c>
      <c r="D405" s="252" t="s">
        <v>1163</v>
      </c>
      <c r="E405" s="252">
        <v>7</v>
      </c>
      <c r="F405" s="252">
        <v>0</v>
      </c>
    </row>
    <row r="406" spans="1:6" x14ac:dyDescent="0.35">
      <c r="A406" s="252" t="s">
        <v>3506</v>
      </c>
      <c r="B406" s="252" t="s">
        <v>996</v>
      </c>
      <c r="C406" s="252">
        <v>2881</v>
      </c>
      <c r="D406" s="252" t="s">
        <v>1181</v>
      </c>
      <c r="E406" s="252">
        <v>7</v>
      </c>
      <c r="F406" s="252">
        <v>0</v>
      </c>
    </row>
    <row r="407" spans="1:6" x14ac:dyDescent="0.35">
      <c r="A407" s="252" t="s">
        <v>3506</v>
      </c>
      <c r="B407" s="252" t="s">
        <v>3498</v>
      </c>
      <c r="C407" s="252" t="s">
        <v>1129</v>
      </c>
      <c r="D407" s="252" t="s">
        <v>1129</v>
      </c>
      <c r="E407" s="252">
        <v>7</v>
      </c>
      <c r="F407" s="252">
        <v>0</v>
      </c>
    </row>
    <row r="408" spans="1:6" x14ac:dyDescent="0.35">
      <c r="A408" s="252" t="s">
        <v>3506</v>
      </c>
      <c r="B408" s="252" t="s">
        <v>1025</v>
      </c>
      <c r="C408" s="252">
        <v>702</v>
      </c>
      <c r="D408" s="252" t="s">
        <v>1215</v>
      </c>
      <c r="E408" s="252">
        <v>7</v>
      </c>
      <c r="F408" s="252">
        <v>0</v>
      </c>
    </row>
    <row r="409" spans="1:6" x14ac:dyDescent="0.35">
      <c r="A409" s="252" t="s">
        <v>3506</v>
      </c>
      <c r="B409" s="252" t="s">
        <v>998</v>
      </c>
      <c r="C409" s="252" t="s">
        <v>1129</v>
      </c>
      <c r="D409" s="252" t="s">
        <v>1129</v>
      </c>
      <c r="E409" s="252">
        <v>7</v>
      </c>
      <c r="F409" s="252">
        <v>0</v>
      </c>
    </row>
    <row r="410" spans="1:6" x14ac:dyDescent="0.35">
      <c r="A410" s="252" t="s">
        <v>3506</v>
      </c>
      <c r="B410" s="252" t="s">
        <v>1067</v>
      </c>
      <c r="C410" s="252" t="s">
        <v>1114</v>
      </c>
      <c r="D410" s="252" t="s">
        <v>1114</v>
      </c>
      <c r="E410" s="252">
        <v>7</v>
      </c>
      <c r="F410" s="252">
        <v>0</v>
      </c>
    </row>
    <row r="411" spans="1:6" x14ac:dyDescent="0.35">
      <c r="A411" s="252" t="s">
        <v>1223</v>
      </c>
      <c r="B411" s="252" t="s">
        <v>1075</v>
      </c>
      <c r="C411" s="252">
        <v>5762</v>
      </c>
      <c r="D411" s="252" t="s">
        <v>1125</v>
      </c>
      <c r="E411" s="252">
        <v>7</v>
      </c>
      <c r="F411" s="252">
        <v>0</v>
      </c>
    </row>
    <row r="412" spans="1:6" x14ac:dyDescent="0.35">
      <c r="A412" s="252" t="s">
        <v>965</v>
      </c>
      <c r="B412" s="252" t="s">
        <v>991</v>
      </c>
      <c r="C412" s="252" t="s">
        <v>1206</v>
      </c>
      <c r="D412" s="252" t="s">
        <v>1206</v>
      </c>
      <c r="E412" s="252">
        <v>7</v>
      </c>
      <c r="F412" s="252">
        <v>0</v>
      </c>
    </row>
    <row r="413" spans="1:6" x14ac:dyDescent="0.35">
      <c r="A413" s="252" t="s">
        <v>964</v>
      </c>
      <c r="B413" s="252" t="s">
        <v>1006</v>
      </c>
      <c r="C413" s="252">
        <v>1701</v>
      </c>
      <c r="D413" s="252" t="s">
        <v>981</v>
      </c>
      <c r="E413" s="252">
        <v>7</v>
      </c>
      <c r="F413" s="252">
        <v>0</v>
      </c>
    </row>
    <row r="414" spans="1:6" x14ac:dyDescent="0.35">
      <c r="A414" s="252" t="s">
        <v>964</v>
      </c>
      <c r="B414" s="252" t="s">
        <v>1061</v>
      </c>
      <c r="C414" s="252" t="s">
        <v>1171</v>
      </c>
      <c r="D414" s="252" t="s">
        <v>1171</v>
      </c>
      <c r="E414" s="252">
        <v>7</v>
      </c>
      <c r="F414" s="252">
        <v>0</v>
      </c>
    </row>
    <row r="415" spans="1:6" x14ac:dyDescent="0.35">
      <c r="A415" s="252" t="s">
        <v>964</v>
      </c>
      <c r="B415" s="252" t="s">
        <v>1015</v>
      </c>
      <c r="C415" s="252" t="s">
        <v>3505</v>
      </c>
      <c r="D415" s="252" t="s">
        <v>3505</v>
      </c>
      <c r="E415" s="252">
        <v>7</v>
      </c>
      <c r="F415" s="252">
        <v>0</v>
      </c>
    </row>
    <row r="416" spans="1:6" x14ac:dyDescent="0.35">
      <c r="A416" s="252" t="s">
        <v>964</v>
      </c>
      <c r="B416" s="252" t="s">
        <v>1015</v>
      </c>
      <c r="C416" s="252">
        <v>701</v>
      </c>
      <c r="D416" s="252" t="s">
        <v>1110</v>
      </c>
      <c r="E416" s="252">
        <v>7</v>
      </c>
      <c r="F416" s="252">
        <v>0</v>
      </c>
    </row>
    <row r="417" spans="1:6" x14ac:dyDescent="0.35">
      <c r="A417" s="252" t="s">
        <v>964</v>
      </c>
      <c r="B417" s="252" t="s">
        <v>999</v>
      </c>
      <c r="C417" s="252">
        <v>1104</v>
      </c>
      <c r="D417" s="252" t="s">
        <v>1200</v>
      </c>
      <c r="E417" s="252">
        <v>7</v>
      </c>
      <c r="F417" s="252">
        <v>0</v>
      </c>
    </row>
    <row r="418" spans="1:6" x14ac:dyDescent="0.35">
      <c r="A418" s="252" t="s">
        <v>964</v>
      </c>
      <c r="B418" s="252" t="s">
        <v>1001</v>
      </c>
      <c r="C418" s="252" t="s">
        <v>1163</v>
      </c>
      <c r="D418" s="252" t="s">
        <v>1163</v>
      </c>
      <c r="E418" s="252">
        <v>7</v>
      </c>
      <c r="F418" s="252">
        <v>0</v>
      </c>
    </row>
    <row r="419" spans="1:6" x14ac:dyDescent="0.35">
      <c r="A419" s="252" t="s">
        <v>964</v>
      </c>
      <c r="B419" s="252" t="s">
        <v>1000</v>
      </c>
      <c r="C419" s="252" t="s">
        <v>1212</v>
      </c>
      <c r="D419" s="252" t="s">
        <v>1212</v>
      </c>
      <c r="E419" s="252">
        <v>7</v>
      </c>
      <c r="F419" s="252">
        <v>0</v>
      </c>
    </row>
    <row r="420" spans="1:6" x14ac:dyDescent="0.35">
      <c r="A420" s="252" t="s">
        <v>964</v>
      </c>
      <c r="B420" s="252" t="s">
        <v>1051</v>
      </c>
      <c r="C420" s="252">
        <v>1401</v>
      </c>
      <c r="D420" s="252" t="s">
        <v>1163</v>
      </c>
      <c r="E420" s="252">
        <v>7</v>
      </c>
      <c r="F420" s="252">
        <v>0</v>
      </c>
    </row>
    <row r="421" spans="1:6" x14ac:dyDescent="0.35">
      <c r="A421" s="252" t="s">
        <v>964</v>
      </c>
      <c r="B421" s="252" t="s">
        <v>1002</v>
      </c>
      <c r="C421" s="252" t="s">
        <v>1167</v>
      </c>
      <c r="D421" s="252" t="s">
        <v>1167</v>
      </c>
      <c r="E421" s="252">
        <v>7</v>
      </c>
      <c r="F421" s="252">
        <v>0</v>
      </c>
    </row>
    <row r="422" spans="1:6" x14ac:dyDescent="0.35">
      <c r="A422" s="252" t="s">
        <v>964</v>
      </c>
      <c r="B422" s="252" t="s">
        <v>1009</v>
      </c>
      <c r="C422" s="252">
        <v>1902</v>
      </c>
      <c r="D422" s="252" t="s">
        <v>1167</v>
      </c>
      <c r="E422" s="252">
        <v>7</v>
      </c>
      <c r="F422" s="252">
        <v>0</v>
      </c>
    </row>
    <row r="423" spans="1:6" x14ac:dyDescent="0.35">
      <c r="A423" s="252" t="s">
        <v>964</v>
      </c>
      <c r="B423" s="252" t="s">
        <v>1009</v>
      </c>
      <c r="C423" s="252" t="s">
        <v>1204</v>
      </c>
      <c r="D423" s="252" t="s">
        <v>1204</v>
      </c>
      <c r="E423" s="252">
        <v>7</v>
      </c>
      <c r="F423" s="252">
        <v>0</v>
      </c>
    </row>
    <row r="424" spans="1:6" x14ac:dyDescent="0.35">
      <c r="A424" s="252" t="s">
        <v>964</v>
      </c>
      <c r="B424" s="252" t="s">
        <v>1009</v>
      </c>
      <c r="C424" s="252" t="s">
        <v>1139</v>
      </c>
      <c r="D424" s="252" t="s">
        <v>1139</v>
      </c>
      <c r="E424" s="252">
        <v>7</v>
      </c>
      <c r="F424" s="252">
        <v>0</v>
      </c>
    </row>
    <row r="425" spans="1:6" x14ac:dyDescent="0.35">
      <c r="A425" s="252" t="s">
        <v>964</v>
      </c>
      <c r="B425" s="252" t="s">
        <v>1009</v>
      </c>
      <c r="C425" s="252" t="s">
        <v>1199</v>
      </c>
      <c r="D425" s="252" t="s">
        <v>1199</v>
      </c>
      <c r="E425" s="252">
        <v>7</v>
      </c>
      <c r="F425" s="252">
        <v>0</v>
      </c>
    </row>
    <row r="426" spans="1:6" x14ac:dyDescent="0.35">
      <c r="A426" s="252" t="s">
        <v>964</v>
      </c>
      <c r="B426" s="252" t="s">
        <v>1009</v>
      </c>
      <c r="C426" s="252" t="s">
        <v>1160</v>
      </c>
      <c r="D426" s="252" t="s">
        <v>1160</v>
      </c>
      <c r="E426" s="252">
        <v>7</v>
      </c>
      <c r="F426" s="252">
        <v>0</v>
      </c>
    </row>
    <row r="427" spans="1:6" x14ac:dyDescent="0.35">
      <c r="A427" s="252" t="s">
        <v>964</v>
      </c>
      <c r="B427" s="252" t="s">
        <v>1009</v>
      </c>
      <c r="C427" s="252" t="s">
        <v>1180</v>
      </c>
      <c r="D427" s="252" t="s">
        <v>1180</v>
      </c>
      <c r="E427" s="252">
        <v>7</v>
      </c>
      <c r="F427" s="252">
        <v>0</v>
      </c>
    </row>
    <row r="428" spans="1:6" x14ac:dyDescent="0.35">
      <c r="A428" s="252" t="s">
        <v>963</v>
      </c>
      <c r="B428" s="252" t="s">
        <v>1020</v>
      </c>
      <c r="C428" s="252" t="s">
        <v>1195</v>
      </c>
      <c r="D428" s="252" t="s">
        <v>1195</v>
      </c>
      <c r="E428" s="252">
        <v>6</v>
      </c>
      <c r="F428" s="252">
        <v>0</v>
      </c>
    </row>
    <row r="429" spans="1:6" x14ac:dyDescent="0.35">
      <c r="A429" s="252" t="s">
        <v>3506</v>
      </c>
      <c r="B429" s="252" t="s">
        <v>3468</v>
      </c>
      <c r="C429" s="252">
        <v>702</v>
      </c>
      <c r="D429" s="252" t="s">
        <v>1215</v>
      </c>
      <c r="E429" s="252">
        <v>6</v>
      </c>
      <c r="F429" s="252">
        <v>0</v>
      </c>
    </row>
    <row r="430" spans="1:6" x14ac:dyDescent="0.35">
      <c r="A430" s="252" t="s">
        <v>3506</v>
      </c>
      <c r="B430" s="252" t="s">
        <v>1077</v>
      </c>
      <c r="C430" s="252" t="s">
        <v>3507</v>
      </c>
      <c r="D430" s="252" t="s">
        <v>3507</v>
      </c>
      <c r="E430" s="252">
        <v>6</v>
      </c>
      <c r="F430" s="252">
        <v>0</v>
      </c>
    </row>
    <row r="431" spans="1:6" x14ac:dyDescent="0.35">
      <c r="A431" s="252" t="s">
        <v>3506</v>
      </c>
      <c r="B431" s="252" t="s">
        <v>1091</v>
      </c>
      <c r="C431" s="252">
        <v>6920601</v>
      </c>
      <c r="D431" s="252" t="s">
        <v>1187</v>
      </c>
      <c r="E431" s="252">
        <v>6</v>
      </c>
      <c r="F431" s="252">
        <v>0</v>
      </c>
    </row>
    <row r="432" spans="1:6" x14ac:dyDescent="0.35">
      <c r="A432" s="252" t="s">
        <v>3506</v>
      </c>
      <c r="B432" s="252" t="s">
        <v>996</v>
      </c>
      <c r="C432" s="252" t="s">
        <v>1163</v>
      </c>
      <c r="D432" s="252" t="s">
        <v>1163</v>
      </c>
      <c r="E432" s="252">
        <v>6</v>
      </c>
      <c r="F432" s="252">
        <v>0</v>
      </c>
    </row>
    <row r="433" spans="1:6" x14ac:dyDescent="0.35">
      <c r="A433" s="252" t="s">
        <v>3506</v>
      </c>
      <c r="B433" s="252" t="s">
        <v>1025</v>
      </c>
      <c r="C433" s="252">
        <v>1702</v>
      </c>
      <c r="D433" s="252" t="s">
        <v>1130</v>
      </c>
      <c r="E433" s="252">
        <v>6</v>
      </c>
      <c r="F433" s="252">
        <v>0</v>
      </c>
    </row>
    <row r="434" spans="1:6" x14ac:dyDescent="0.35">
      <c r="A434" s="252" t="s">
        <v>965</v>
      </c>
      <c r="B434" s="252" t="s">
        <v>1058</v>
      </c>
      <c r="C434" s="252" t="s">
        <v>1208</v>
      </c>
      <c r="D434" s="252" t="s">
        <v>1208</v>
      </c>
      <c r="E434" s="252">
        <v>6</v>
      </c>
      <c r="F434" s="252">
        <v>0</v>
      </c>
    </row>
    <row r="435" spans="1:6" x14ac:dyDescent="0.35">
      <c r="A435" s="252" t="s">
        <v>964</v>
      </c>
      <c r="B435" s="252" t="s">
        <v>1006</v>
      </c>
      <c r="C435" s="252">
        <v>2919</v>
      </c>
      <c r="D435" s="252" t="s">
        <v>1162</v>
      </c>
      <c r="E435" s="252">
        <v>6</v>
      </c>
      <c r="F435" s="252">
        <v>0</v>
      </c>
    </row>
    <row r="436" spans="1:6" x14ac:dyDescent="0.35">
      <c r="A436" s="252" t="s">
        <v>964</v>
      </c>
      <c r="B436" s="252" t="s">
        <v>1006</v>
      </c>
      <c r="C436" s="252" t="s">
        <v>1139</v>
      </c>
      <c r="D436" s="252" t="s">
        <v>1139</v>
      </c>
      <c r="E436" s="252">
        <v>6</v>
      </c>
      <c r="F436" s="252">
        <v>0</v>
      </c>
    </row>
    <row r="437" spans="1:6" x14ac:dyDescent="0.35">
      <c r="A437" s="252" t="s">
        <v>964</v>
      </c>
      <c r="B437" s="252" t="s">
        <v>1001</v>
      </c>
      <c r="C437" s="252" t="s">
        <v>1206</v>
      </c>
      <c r="D437" s="252" t="s">
        <v>1206</v>
      </c>
      <c r="E437" s="252">
        <v>6</v>
      </c>
      <c r="F437" s="252">
        <v>0</v>
      </c>
    </row>
    <row r="438" spans="1:6" x14ac:dyDescent="0.35">
      <c r="A438" s="252" t="s">
        <v>964</v>
      </c>
      <c r="B438" s="252" t="s">
        <v>985</v>
      </c>
      <c r="C438" s="252" t="s">
        <v>3509</v>
      </c>
      <c r="D438" s="252" t="s">
        <v>3509</v>
      </c>
      <c r="E438" s="252">
        <v>6</v>
      </c>
      <c r="F438" s="252">
        <v>0</v>
      </c>
    </row>
    <row r="439" spans="1:6" x14ac:dyDescent="0.35">
      <c r="A439" s="252" t="s">
        <v>964</v>
      </c>
      <c r="B439" s="252" t="s">
        <v>1002</v>
      </c>
      <c r="C439" s="252" t="s">
        <v>1129</v>
      </c>
      <c r="D439" s="252" t="s">
        <v>1129</v>
      </c>
      <c r="E439" s="252">
        <v>6</v>
      </c>
      <c r="F439" s="252">
        <v>0</v>
      </c>
    </row>
    <row r="440" spans="1:6" x14ac:dyDescent="0.35">
      <c r="A440" s="252" t="s">
        <v>964</v>
      </c>
      <c r="B440" s="252" t="s">
        <v>1009</v>
      </c>
      <c r="C440" s="252" t="s">
        <v>1129</v>
      </c>
      <c r="D440" s="252" t="s">
        <v>1129</v>
      </c>
      <c r="E440" s="252">
        <v>6</v>
      </c>
      <c r="F440" s="252">
        <v>0</v>
      </c>
    </row>
    <row r="441" spans="1:6" x14ac:dyDescent="0.35">
      <c r="A441" s="252" t="s">
        <v>964</v>
      </c>
      <c r="B441" s="252" t="s">
        <v>1009</v>
      </c>
      <c r="C441" s="252" t="s">
        <v>1142</v>
      </c>
      <c r="D441" s="252" t="s">
        <v>1142</v>
      </c>
      <c r="E441" s="252">
        <v>6</v>
      </c>
      <c r="F441" s="252">
        <v>0</v>
      </c>
    </row>
    <row r="442" spans="1:6" x14ac:dyDescent="0.35">
      <c r="A442" s="252" t="s">
        <v>964</v>
      </c>
      <c r="B442" s="252" t="s">
        <v>1009</v>
      </c>
      <c r="C442" s="252" t="s">
        <v>1145</v>
      </c>
      <c r="D442" s="252" t="s">
        <v>1145</v>
      </c>
      <c r="E442" s="252">
        <v>6</v>
      </c>
      <c r="F442" s="252">
        <v>0</v>
      </c>
    </row>
    <row r="443" spans="1:6" x14ac:dyDescent="0.35">
      <c r="A443" s="252" t="s">
        <v>964</v>
      </c>
      <c r="B443" s="252" t="s">
        <v>1066</v>
      </c>
      <c r="C443" s="252" t="s">
        <v>1137</v>
      </c>
      <c r="D443" s="252" t="s">
        <v>1137</v>
      </c>
      <c r="E443" s="252">
        <v>6</v>
      </c>
      <c r="F443" s="252">
        <v>0</v>
      </c>
    </row>
    <row r="444" spans="1:6" x14ac:dyDescent="0.35">
      <c r="A444" s="252" t="s">
        <v>964</v>
      </c>
      <c r="B444" s="252" t="s">
        <v>1035</v>
      </c>
      <c r="C444" s="252">
        <v>1401</v>
      </c>
      <c r="D444" s="252" t="s">
        <v>1163</v>
      </c>
      <c r="E444" s="252">
        <v>6</v>
      </c>
      <c r="F444" s="252">
        <v>0</v>
      </c>
    </row>
    <row r="445" spans="1:6" x14ac:dyDescent="0.35">
      <c r="A445" s="252" t="s">
        <v>964</v>
      </c>
      <c r="B445" s="252" t="s">
        <v>1035</v>
      </c>
      <c r="C445" s="252">
        <v>1702</v>
      </c>
      <c r="D445" s="252" t="s">
        <v>1130</v>
      </c>
      <c r="E445" s="252">
        <v>6</v>
      </c>
      <c r="F445" s="252">
        <v>0</v>
      </c>
    </row>
    <row r="446" spans="1:6" x14ac:dyDescent="0.35">
      <c r="A446" s="252" t="s">
        <v>963</v>
      </c>
      <c r="B446" s="252" t="s">
        <v>995</v>
      </c>
      <c r="C446" s="252" t="s">
        <v>1155</v>
      </c>
      <c r="D446" s="252" t="s">
        <v>1155</v>
      </c>
      <c r="E446" s="252">
        <v>5</v>
      </c>
      <c r="F446" s="252">
        <v>0</v>
      </c>
    </row>
    <row r="447" spans="1:6" x14ac:dyDescent="0.35">
      <c r="A447" s="252" t="s">
        <v>963</v>
      </c>
      <c r="B447" s="252" t="s">
        <v>1020</v>
      </c>
      <c r="C447" s="252" t="s">
        <v>1110</v>
      </c>
      <c r="D447" s="252" t="s">
        <v>1110</v>
      </c>
      <c r="E447" s="252">
        <v>5</v>
      </c>
      <c r="F447" s="252">
        <v>0</v>
      </c>
    </row>
    <row r="448" spans="1:6" x14ac:dyDescent="0.35">
      <c r="A448" s="252" t="s">
        <v>963</v>
      </c>
      <c r="B448" s="252" t="s">
        <v>1003</v>
      </c>
      <c r="C448" s="252" t="s">
        <v>1188</v>
      </c>
      <c r="D448" s="252" t="s">
        <v>1188</v>
      </c>
      <c r="E448" s="252">
        <v>5</v>
      </c>
      <c r="F448" s="252">
        <v>0</v>
      </c>
    </row>
    <row r="449" spans="1:6" x14ac:dyDescent="0.35">
      <c r="A449" s="252" t="s">
        <v>3506</v>
      </c>
      <c r="B449" s="252" t="s">
        <v>990</v>
      </c>
      <c r="C449" s="252">
        <v>1402</v>
      </c>
      <c r="D449" s="252" t="s">
        <v>1129</v>
      </c>
      <c r="E449" s="252">
        <v>5</v>
      </c>
      <c r="F449" s="252">
        <v>0</v>
      </c>
    </row>
    <row r="450" spans="1:6" x14ac:dyDescent="0.35">
      <c r="A450" s="252" t="s">
        <v>3506</v>
      </c>
      <c r="B450" s="252" t="s">
        <v>1077</v>
      </c>
      <c r="C450" s="252">
        <v>1401</v>
      </c>
      <c r="D450" s="252" t="s">
        <v>1163</v>
      </c>
      <c r="E450" s="252">
        <v>5</v>
      </c>
      <c r="F450" s="252">
        <v>0</v>
      </c>
    </row>
    <row r="451" spans="1:6" x14ac:dyDescent="0.35">
      <c r="A451" s="252" t="s">
        <v>3506</v>
      </c>
      <c r="B451" s="252" t="s">
        <v>1099</v>
      </c>
      <c r="C451" s="252" t="s">
        <v>1212</v>
      </c>
      <c r="D451" s="252" t="s">
        <v>1212</v>
      </c>
      <c r="E451" s="252">
        <v>5</v>
      </c>
      <c r="F451" s="252">
        <v>0</v>
      </c>
    </row>
    <row r="452" spans="1:6" x14ac:dyDescent="0.35">
      <c r="A452" s="252" t="s">
        <v>3506</v>
      </c>
      <c r="B452" s="252" t="s">
        <v>1100</v>
      </c>
      <c r="C452" s="252" t="s">
        <v>1163</v>
      </c>
      <c r="D452" s="252" t="s">
        <v>1163</v>
      </c>
      <c r="E452" s="252">
        <v>5</v>
      </c>
      <c r="F452" s="252">
        <v>0</v>
      </c>
    </row>
    <row r="453" spans="1:6" x14ac:dyDescent="0.35">
      <c r="A453" s="252" t="s">
        <v>3506</v>
      </c>
      <c r="B453" s="252" t="s">
        <v>1021</v>
      </c>
      <c r="C453" s="252" t="s">
        <v>1210</v>
      </c>
      <c r="D453" s="252" t="s">
        <v>1163</v>
      </c>
      <c r="E453" s="252">
        <v>5</v>
      </c>
      <c r="F453" s="252">
        <v>0</v>
      </c>
    </row>
    <row r="454" spans="1:6" x14ac:dyDescent="0.35">
      <c r="A454" s="252" t="s">
        <v>3506</v>
      </c>
      <c r="B454" s="252" t="s">
        <v>3496</v>
      </c>
      <c r="C454" s="252" t="s">
        <v>1125</v>
      </c>
      <c r="D454" s="252" t="s">
        <v>1125</v>
      </c>
      <c r="E454" s="252">
        <v>5</v>
      </c>
      <c r="F454" s="252">
        <v>0</v>
      </c>
    </row>
    <row r="455" spans="1:6" x14ac:dyDescent="0.35">
      <c r="A455" s="252" t="s">
        <v>1223</v>
      </c>
      <c r="B455" s="252" t="s">
        <v>1047</v>
      </c>
      <c r="C455" s="252">
        <v>6173</v>
      </c>
      <c r="D455" s="252" t="s">
        <v>1173</v>
      </c>
      <c r="E455" s="252">
        <v>5</v>
      </c>
      <c r="F455" s="252">
        <v>0</v>
      </c>
    </row>
    <row r="456" spans="1:6" x14ac:dyDescent="0.35">
      <c r="A456" s="252" t="s">
        <v>965</v>
      </c>
      <c r="B456" s="252" t="s">
        <v>991</v>
      </c>
      <c r="C456" s="252" t="s">
        <v>1167</v>
      </c>
      <c r="D456" s="252" t="s">
        <v>1167</v>
      </c>
      <c r="E456" s="252">
        <v>5</v>
      </c>
      <c r="F456" s="252">
        <v>0</v>
      </c>
    </row>
    <row r="457" spans="1:6" x14ac:dyDescent="0.35">
      <c r="A457" s="252" t="s">
        <v>965</v>
      </c>
      <c r="B457" s="252" t="s">
        <v>991</v>
      </c>
      <c r="C457" s="252" t="s">
        <v>1164</v>
      </c>
      <c r="D457" s="252" t="s">
        <v>1164</v>
      </c>
      <c r="E457" s="252">
        <v>5</v>
      </c>
      <c r="F457" s="252">
        <v>0</v>
      </c>
    </row>
    <row r="458" spans="1:6" x14ac:dyDescent="0.35">
      <c r="A458" s="252" t="s">
        <v>965</v>
      </c>
      <c r="B458" s="252" t="s">
        <v>1018</v>
      </c>
      <c r="C458" s="252" t="s">
        <v>1215</v>
      </c>
      <c r="D458" s="252" t="s">
        <v>1215</v>
      </c>
      <c r="E458" s="252">
        <v>5</v>
      </c>
      <c r="F458" s="252">
        <v>0</v>
      </c>
    </row>
    <row r="459" spans="1:6" x14ac:dyDescent="0.35">
      <c r="A459" s="252" t="s">
        <v>965</v>
      </c>
      <c r="B459" s="252" t="s">
        <v>1057</v>
      </c>
      <c r="C459" s="252" t="s">
        <v>1163</v>
      </c>
      <c r="D459" s="252" t="s">
        <v>1163</v>
      </c>
      <c r="E459" s="252">
        <v>5</v>
      </c>
      <c r="F459" s="252">
        <v>0</v>
      </c>
    </row>
    <row r="460" spans="1:6" x14ac:dyDescent="0.35">
      <c r="A460" s="252" t="s">
        <v>965</v>
      </c>
      <c r="B460" s="252" t="s">
        <v>992</v>
      </c>
      <c r="C460" s="252" t="s">
        <v>1129</v>
      </c>
      <c r="D460" s="252" t="s">
        <v>1129</v>
      </c>
      <c r="E460" s="252">
        <v>5</v>
      </c>
      <c r="F460" s="252">
        <v>0</v>
      </c>
    </row>
    <row r="461" spans="1:6" x14ac:dyDescent="0.35">
      <c r="A461" s="252" t="s">
        <v>1220</v>
      </c>
      <c r="B461" s="252" t="s">
        <v>1007</v>
      </c>
      <c r="C461" s="252" t="s">
        <v>1143</v>
      </c>
      <c r="D461" s="252" t="s">
        <v>1143</v>
      </c>
      <c r="E461" s="252">
        <v>5</v>
      </c>
      <c r="F461" s="252">
        <v>0</v>
      </c>
    </row>
    <row r="462" spans="1:6" x14ac:dyDescent="0.35">
      <c r="A462" s="252" t="s">
        <v>964</v>
      </c>
      <c r="B462" s="252" t="s">
        <v>1015</v>
      </c>
      <c r="C462" s="252">
        <v>2881</v>
      </c>
      <c r="D462" s="252" t="s">
        <v>1181</v>
      </c>
      <c r="E462" s="252">
        <v>5</v>
      </c>
      <c r="F462" s="252">
        <v>0</v>
      </c>
    </row>
    <row r="463" spans="1:6" x14ac:dyDescent="0.35">
      <c r="A463" s="252" t="s">
        <v>964</v>
      </c>
      <c r="B463" s="252" t="s">
        <v>999</v>
      </c>
      <c r="C463" s="252" t="s">
        <v>1144</v>
      </c>
      <c r="D463" s="252" t="s">
        <v>1144</v>
      </c>
      <c r="E463" s="252">
        <v>5</v>
      </c>
      <c r="F463" s="252">
        <v>0</v>
      </c>
    </row>
    <row r="464" spans="1:6" x14ac:dyDescent="0.35">
      <c r="A464" s="252" t="s">
        <v>964</v>
      </c>
      <c r="B464" s="252" t="s">
        <v>999</v>
      </c>
      <c r="C464" s="252">
        <v>1602</v>
      </c>
      <c r="D464" s="252" t="s">
        <v>1144</v>
      </c>
      <c r="E464" s="252">
        <v>5</v>
      </c>
      <c r="F464" s="252">
        <v>0</v>
      </c>
    </row>
    <row r="465" spans="1:6" x14ac:dyDescent="0.35">
      <c r="A465" s="252" t="s">
        <v>964</v>
      </c>
      <c r="B465" s="252" t="s">
        <v>1031</v>
      </c>
      <c r="C465" s="252">
        <v>1104</v>
      </c>
      <c r="D465" s="252" t="s">
        <v>1200</v>
      </c>
      <c r="E465" s="252">
        <v>5</v>
      </c>
      <c r="F465" s="252">
        <v>0</v>
      </c>
    </row>
    <row r="466" spans="1:6" x14ac:dyDescent="0.35">
      <c r="A466" s="252" t="s">
        <v>964</v>
      </c>
      <c r="B466" s="252" t="s">
        <v>973</v>
      </c>
      <c r="C466" s="252" t="s">
        <v>1210</v>
      </c>
      <c r="D466" s="252" t="s">
        <v>1163</v>
      </c>
      <c r="E466" s="252">
        <v>5</v>
      </c>
      <c r="F466" s="252">
        <v>0</v>
      </c>
    </row>
    <row r="467" spans="1:6" x14ac:dyDescent="0.35">
      <c r="A467" s="252" t="s">
        <v>964</v>
      </c>
      <c r="B467" s="252" t="s">
        <v>994</v>
      </c>
      <c r="C467" s="252" t="s">
        <v>1163</v>
      </c>
      <c r="D467" s="252" t="s">
        <v>1163</v>
      </c>
      <c r="E467" s="252">
        <v>5</v>
      </c>
      <c r="F467" s="252">
        <v>0</v>
      </c>
    </row>
    <row r="468" spans="1:6" x14ac:dyDescent="0.35">
      <c r="A468" s="252" t="s">
        <v>964</v>
      </c>
      <c r="B468" s="252" t="s">
        <v>994</v>
      </c>
      <c r="C468" s="252" t="s">
        <v>1210</v>
      </c>
      <c r="D468" s="252" t="s">
        <v>1163</v>
      </c>
      <c r="E468" s="252">
        <v>5</v>
      </c>
      <c r="F468" s="252">
        <v>0</v>
      </c>
    </row>
    <row r="469" spans="1:6" x14ac:dyDescent="0.35">
      <c r="A469" s="252" t="s">
        <v>964</v>
      </c>
      <c r="B469" s="252" t="s">
        <v>994</v>
      </c>
      <c r="C469" s="252" t="s">
        <v>1189</v>
      </c>
      <c r="D469" s="252" t="s">
        <v>1189</v>
      </c>
      <c r="E469" s="252">
        <v>5</v>
      </c>
      <c r="F469" s="252">
        <v>0</v>
      </c>
    </row>
    <row r="470" spans="1:6" x14ac:dyDescent="0.35">
      <c r="A470" s="252" t="s">
        <v>964</v>
      </c>
      <c r="B470" s="252" t="s">
        <v>1051</v>
      </c>
      <c r="C470" s="252" t="s">
        <v>1163</v>
      </c>
      <c r="D470" s="252" t="s">
        <v>1163</v>
      </c>
      <c r="E470" s="252">
        <v>5</v>
      </c>
      <c r="F470" s="252">
        <v>0</v>
      </c>
    </row>
    <row r="471" spans="1:6" x14ac:dyDescent="0.35">
      <c r="A471" s="252" t="s">
        <v>964</v>
      </c>
      <c r="B471" s="252" t="s">
        <v>985</v>
      </c>
      <c r="C471" s="252" t="s">
        <v>1153</v>
      </c>
      <c r="D471" s="252" t="s">
        <v>1153</v>
      </c>
      <c r="E471" s="252">
        <v>5</v>
      </c>
      <c r="F471" s="252">
        <v>0</v>
      </c>
    </row>
    <row r="472" spans="1:6" x14ac:dyDescent="0.35">
      <c r="A472" s="252" t="s">
        <v>964</v>
      </c>
      <c r="B472" s="252" t="s">
        <v>985</v>
      </c>
      <c r="C472" s="252" t="s">
        <v>1215</v>
      </c>
      <c r="D472" s="252" t="s">
        <v>1215</v>
      </c>
      <c r="E472" s="252">
        <v>5</v>
      </c>
      <c r="F472" s="252">
        <v>0</v>
      </c>
    </row>
    <row r="473" spans="1:6" x14ac:dyDescent="0.35">
      <c r="A473" s="252" t="s">
        <v>964</v>
      </c>
      <c r="B473" s="252" t="s">
        <v>1011</v>
      </c>
      <c r="C473" s="252">
        <v>5232000</v>
      </c>
      <c r="D473" s="252" t="s">
        <v>1188</v>
      </c>
      <c r="E473" s="252">
        <v>5</v>
      </c>
      <c r="F473" s="252">
        <v>0</v>
      </c>
    </row>
    <row r="474" spans="1:6" x14ac:dyDescent="0.35">
      <c r="A474" s="252" t="s">
        <v>964</v>
      </c>
      <c r="B474" s="252" t="s">
        <v>1009</v>
      </c>
      <c r="C474" s="252">
        <v>2496</v>
      </c>
      <c r="D474" s="252" t="s">
        <v>1177</v>
      </c>
      <c r="E474" s="252">
        <v>5</v>
      </c>
      <c r="F474" s="252">
        <v>0</v>
      </c>
    </row>
    <row r="475" spans="1:6" x14ac:dyDescent="0.35">
      <c r="A475" s="252" t="s">
        <v>964</v>
      </c>
      <c r="B475" s="252" t="s">
        <v>1009</v>
      </c>
      <c r="C475" s="252">
        <v>8176</v>
      </c>
      <c r="D475" s="252" t="s">
        <v>1170</v>
      </c>
      <c r="E475" s="252">
        <v>5</v>
      </c>
      <c r="F475" s="252">
        <v>0</v>
      </c>
    </row>
    <row r="476" spans="1:6" x14ac:dyDescent="0.35">
      <c r="A476" s="252" t="s">
        <v>964</v>
      </c>
      <c r="B476" s="252" t="s">
        <v>1009</v>
      </c>
      <c r="C476" s="252" t="s">
        <v>1167</v>
      </c>
      <c r="D476" s="252" t="s">
        <v>1167</v>
      </c>
      <c r="E476" s="252">
        <v>5</v>
      </c>
      <c r="F476" s="252">
        <v>0</v>
      </c>
    </row>
    <row r="477" spans="1:6" x14ac:dyDescent="0.35">
      <c r="A477" s="252" t="s">
        <v>964</v>
      </c>
      <c r="B477" s="252" t="s">
        <v>1035</v>
      </c>
      <c r="C477" s="252" t="s">
        <v>1158</v>
      </c>
      <c r="D477" s="252" t="s">
        <v>1158</v>
      </c>
      <c r="E477" s="252">
        <v>5</v>
      </c>
      <c r="F477" s="252">
        <v>0</v>
      </c>
    </row>
    <row r="478" spans="1:6" x14ac:dyDescent="0.35">
      <c r="A478" s="252" t="s">
        <v>964</v>
      </c>
      <c r="B478" s="252" t="s">
        <v>1029</v>
      </c>
      <c r="C478" s="252" t="s">
        <v>1211</v>
      </c>
      <c r="D478" s="252" t="s">
        <v>1211</v>
      </c>
      <c r="E478" s="252">
        <v>5</v>
      </c>
      <c r="F478" s="252">
        <v>0</v>
      </c>
    </row>
    <row r="479" spans="1:6" x14ac:dyDescent="0.35">
      <c r="A479" s="252" t="s">
        <v>964</v>
      </c>
      <c r="B479" s="252" t="s">
        <v>1072</v>
      </c>
      <c r="C479" s="252">
        <v>6807</v>
      </c>
      <c r="D479" s="252" t="s">
        <v>1148</v>
      </c>
      <c r="E479" s="252">
        <v>5</v>
      </c>
      <c r="F479" s="252">
        <v>0</v>
      </c>
    </row>
    <row r="480" spans="1:6" x14ac:dyDescent="0.35">
      <c r="A480" s="252" t="s">
        <v>963</v>
      </c>
      <c r="B480" s="252" t="s">
        <v>1043</v>
      </c>
      <c r="C480" s="252" t="s">
        <v>1115</v>
      </c>
      <c r="D480" s="252" t="s">
        <v>1115</v>
      </c>
      <c r="E480" s="252">
        <v>4</v>
      </c>
      <c r="F480" s="252">
        <v>0</v>
      </c>
    </row>
    <row r="481" spans="1:6" x14ac:dyDescent="0.35">
      <c r="A481" s="252" t="s">
        <v>963</v>
      </c>
      <c r="B481" s="252" t="s">
        <v>1003</v>
      </c>
      <c r="C481" s="252">
        <v>3980</v>
      </c>
      <c r="D481" s="252" t="s">
        <v>981</v>
      </c>
      <c r="E481" s="252">
        <v>4</v>
      </c>
      <c r="F481" s="252">
        <v>0</v>
      </c>
    </row>
    <row r="482" spans="1:6" x14ac:dyDescent="0.35">
      <c r="A482" s="252" t="s">
        <v>963</v>
      </c>
      <c r="B482" s="252" t="s">
        <v>1003</v>
      </c>
      <c r="C482" s="252" t="s">
        <v>1162</v>
      </c>
      <c r="D482" s="252" t="s">
        <v>1162</v>
      </c>
      <c r="E482" s="252">
        <v>4</v>
      </c>
      <c r="F482" s="252">
        <v>0</v>
      </c>
    </row>
    <row r="483" spans="1:6" x14ac:dyDescent="0.35">
      <c r="A483" s="252" t="s">
        <v>1224</v>
      </c>
      <c r="B483" s="252" t="s">
        <v>1069</v>
      </c>
      <c r="C483" s="252" t="s">
        <v>1167</v>
      </c>
      <c r="D483" s="252" t="s">
        <v>1167</v>
      </c>
      <c r="E483" s="252">
        <v>4</v>
      </c>
      <c r="F483" s="252">
        <v>0</v>
      </c>
    </row>
    <row r="484" spans="1:6" x14ac:dyDescent="0.35">
      <c r="A484" s="252" t="s">
        <v>3506</v>
      </c>
      <c r="B484" s="252" t="s">
        <v>1096</v>
      </c>
      <c r="C484" s="252" t="s">
        <v>3504</v>
      </c>
      <c r="D484" s="252" t="s">
        <v>1200</v>
      </c>
      <c r="E484" s="252">
        <v>4</v>
      </c>
      <c r="F484" s="252">
        <v>0</v>
      </c>
    </row>
    <row r="485" spans="1:6" x14ac:dyDescent="0.35">
      <c r="A485" s="252" t="s">
        <v>3506</v>
      </c>
      <c r="B485" s="252" t="s">
        <v>1096</v>
      </c>
      <c r="C485" s="252" t="s">
        <v>1210</v>
      </c>
      <c r="D485" s="252" t="s">
        <v>1163</v>
      </c>
      <c r="E485" s="252">
        <v>4</v>
      </c>
      <c r="F485" s="252">
        <v>0</v>
      </c>
    </row>
    <row r="486" spans="1:6" x14ac:dyDescent="0.35">
      <c r="A486" s="252" t="s">
        <v>3506</v>
      </c>
      <c r="B486" s="252" t="s">
        <v>3485</v>
      </c>
      <c r="C486" s="252">
        <v>702</v>
      </c>
      <c r="D486" s="252" t="s">
        <v>1215</v>
      </c>
      <c r="E486" s="252">
        <v>4</v>
      </c>
      <c r="F486" s="252">
        <v>0</v>
      </c>
    </row>
    <row r="487" spans="1:6" x14ac:dyDescent="0.35">
      <c r="A487" s="252" t="s">
        <v>3506</v>
      </c>
      <c r="B487" s="252" t="s">
        <v>1105</v>
      </c>
      <c r="C487" s="252" t="s">
        <v>981</v>
      </c>
      <c r="D487" s="252" t="s">
        <v>981</v>
      </c>
      <c r="E487" s="252">
        <v>4</v>
      </c>
      <c r="F487" s="252">
        <v>0</v>
      </c>
    </row>
    <row r="488" spans="1:6" x14ac:dyDescent="0.35">
      <c r="A488" s="252" t="s">
        <v>3506</v>
      </c>
      <c r="B488" s="252" t="s">
        <v>3489</v>
      </c>
      <c r="C488" s="252" t="s">
        <v>1127</v>
      </c>
      <c r="D488" s="252" t="s">
        <v>1127</v>
      </c>
      <c r="E488" s="252">
        <v>4</v>
      </c>
      <c r="F488" s="252">
        <v>0</v>
      </c>
    </row>
    <row r="489" spans="1:6" x14ac:dyDescent="0.35">
      <c r="A489" s="252" t="s">
        <v>3506</v>
      </c>
      <c r="B489" s="252" t="s">
        <v>1042</v>
      </c>
      <c r="C489" s="252" t="s">
        <v>1211</v>
      </c>
      <c r="D489" s="252" t="s">
        <v>1211</v>
      </c>
      <c r="E489" s="252">
        <v>4</v>
      </c>
      <c r="F489" s="252">
        <v>0</v>
      </c>
    </row>
    <row r="490" spans="1:6" x14ac:dyDescent="0.35">
      <c r="A490" s="252" t="s">
        <v>3506</v>
      </c>
      <c r="B490" s="252" t="s">
        <v>996</v>
      </c>
      <c r="C490" s="252">
        <v>6297</v>
      </c>
      <c r="D490" s="252" t="s">
        <v>1172</v>
      </c>
      <c r="E490" s="252">
        <v>4</v>
      </c>
      <c r="F490" s="252">
        <v>0</v>
      </c>
    </row>
    <row r="491" spans="1:6" x14ac:dyDescent="0.35">
      <c r="A491" s="252" t="s">
        <v>3506</v>
      </c>
      <c r="B491" s="252" t="s">
        <v>996</v>
      </c>
      <c r="C491" s="252" t="s">
        <v>1210</v>
      </c>
      <c r="D491" s="252" t="s">
        <v>1210</v>
      </c>
      <c r="E491" s="252">
        <v>4</v>
      </c>
      <c r="F491" s="252">
        <v>0</v>
      </c>
    </row>
    <row r="492" spans="1:6" x14ac:dyDescent="0.35">
      <c r="A492" s="252" t="s">
        <v>3506</v>
      </c>
      <c r="B492" s="252" t="s">
        <v>996</v>
      </c>
      <c r="C492" s="252" t="s">
        <v>1130</v>
      </c>
      <c r="D492" s="252" t="s">
        <v>1130</v>
      </c>
      <c r="E492" s="252">
        <v>4</v>
      </c>
      <c r="F492" s="252">
        <v>0</v>
      </c>
    </row>
    <row r="493" spans="1:6" x14ac:dyDescent="0.35">
      <c r="A493" s="252" t="s">
        <v>3506</v>
      </c>
      <c r="B493" s="252" t="s">
        <v>996</v>
      </c>
      <c r="C493" s="252" t="s">
        <v>1167</v>
      </c>
      <c r="D493" s="252" t="s">
        <v>1167</v>
      </c>
      <c r="E493" s="252">
        <v>4</v>
      </c>
      <c r="F493" s="252">
        <v>0</v>
      </c>
    </row>
    <row r="494" spans="1:6" x14ac:dyDescent="0.35">
      <c r="A494" s="252" t="s">
        <v>3506</v>
      </c>
      <c r="B494" s="252" t="s">
        <v>996</v>
      </c>
      <c r="C494" s="252" t="s">
        <v>1215</v>
      </c>
      <c r="D494" s="252" t="s">
        <v>1215</v>
      </c>
      <c r="E494" s="252">
        <v>4</v>
      </c>
      <c r="F494" s="252">
        <v>0</v>
      </c>
    </row>
    <row r="495" spans="1:6" x14ac:dyDescent="0.35">
      <c r="A495" s="252" t="s">
        <v>3506</v>
      </c>
      <c r="B495" s="252" t="s">
        <v>988</v>
      </c>
      <c r="C495" s="252" t="s">
        <v>1211</v>
      </c>
      <c r="D495" s="252" t="s">
        <v>1211</v>
      </c>
      <c r="E495" s="252">
        <v>4</v>
      </c>
      <c r="F495" s="252">
        <v>0</v>
      </c>
    </row>
    <row r="496" spans="1:6" x14ac:dyDescent="0.35">
      <c r="A496" s="252" t="s">
        <v>3506</v>
      </c>
      <c r="B496" s="252" t="s">
        <v>3495</v>
      </c>
      <c r="C496" s="252" t="s">
        <v>1163</v>
      </c>
      <c r="D496" s="252" t="s">
        <v>1163</v>
      </c>
      <c r="E496" s="252">
        <v>4</v>
      </c>
      <c r="F496" s="252">
        <v>0</v>
      </c>
    </row>
    <row r="497" spans="1:6" x14ac:dyDescent="0.35">
      <c r="A497" s="252" t="s">
        <v>1223</v>
      </c>
      <c r="B497" s="252" t="s">
        <v>1047</v>
      </c>
      <c r="C497" s="252">
        <v>5762</v>
      </c>
      <c r="D497" s="252" t="s">
        <v>1125</v>
      </c>
      <c r="E497" s="252">
        <v>4</v>
      </c>
      <c r="F497" s="252">
        <v>0</v>
      </c>
    </row>
    <row r="498" spans="1:6" x14ac:dyDescent="0.35">
      <c r="A498" s="252" t="s">
        <v>1223</v>
      </c>
      <c r="B498" s="252" t="s">
        <v>1047</v>
      </c>
      <c r="C498" s="252">
        <v>8176</v>
      </c>
      <c r="D498" s="252" t="s">
        <v>1170</v>
      </c>
      <c r="E498" s="252">
        <v>4</v>
      </c>
      <c r="F498" s="252">
        <v>0</v>
      </c>
    </row>
    <row r="499" spans="1:6" x14ac:dyDescent="0.35">
      <c r="A499" s="252" t="s">
        <v>1223</v>
      </c>
      <c r="B499" s="252" t="s">
        <v>1047</v>
      </c>
      <c r="C499" s="252" t="s">
        <v>1129</v>
      </c>
      <c r="D499" s="252" t="s">
        <v>1129</v>
      </c>
      <c r="E499" s="252">
        <v>4</v>
      </c>
      <c r="F499" s="252">
        <v>0</v>
      </c>
    </row>
    <row r="500" spans="1:6" x14ac:dyDescent="0.35">
      <c r="A500" s="252" t="s">
        <v>965</v>
      </c>
      <c r="B500" s="252" t="s">
        <v>1058</v>
      </c>
      <c r="C500" s="252" t="s">
        <v>1189</v>
      </c>
      <c r="D500" s="252" t="s">
        <v>1189</v>
      </c>
      <c r="E500" s="252">
        <v>4</v>
      </c>
      <c r="F500" s="252">
        <v>0</v>
      </c>
    </row>
    <row r="501" spans="1:6" x14ac:dyDescent="0.35">
      <c r="A501" s="252" t="s">
        <v>965</v>
      </c>
      <c r="B501" s="252" t="s">
        <v>1058</v>
      </c>
      <c r="C501" s="252" t="s">
        <v>1164</v>
      </c>
      <c r="D501" s="252" t="s">
        <v>1164</v>
      </c>
      <c r="E501" s="252">
        <v>4</v>
      </c>
      <c r="F501" s="252">
        <v>0</v>
      </c>
    </row>
    <row r="502" spans="1:6" x14ac:dyDescent="0.35">
      <c r="A502" s="252" t="s">
        <v>965</v>
      </c>
      <c r="B502" s="252" t="s">
        <v>992</v>
      </c>
      <c r="C502" s="252" t="s">
        <v>1167</v>
      </c>
      <c r="D502" s="252" t="s">
        <v>1167</v>
      </c>
      <c r="E502" s="252">
        <v>4</v>
      </c>
      <c r="F502" s="252">
        <v>0</v>
      </c>
    </row>
    <row r="503" spans="1:6" x14ac:dyDescent="0.35">
      <c r="A503" s="252" t="s">
        <v>1220</v>
      </c>
      <c r="B503" s="252" t="s">
        <v>1016</v>
      </c>
      <c r="C503" s="252">
        <v>3476</v>
      </c>
      <c r="D503" s="252" t="s">
        <v>1187</v>
      </c>
      <c r="E503" s="252">
        <v>4</v>
      </c>
      <c r="F503" s="252">
        <v>0</v>
      </c>
    </row>
    <row r="504" spans="1:6" x14ac:dyDescent="0.35">
      <c r="A504" s="252" t="s">
        <v>964</v>
      </c>
      <c r="B504" s="252" t="s">
        <v>986</v>
      </c>
      <c r="C504" s="252">
        <v>702</v>
      </c>
      <c r="D504" s="252" t="s">
        <v>1215</v>
      </c>
      <c r="E504" s="252">
        <v>4</v>
      </c>
      <c r="F504" s="252">
        <v>0</v>
      </c>
    </row>
    <row r="505" spans="1:6" x14ac:dyDescent="0.35">
      <c r="A505" s="252" t="s">
        <v>964</v>
      </c>
      <c r="B505" s="252" t="s">
        <v>1006</v>
      </c>
      <c r="C505" s="252">
        <v>3387</v>
      </c>
      <c r="D505" s="252" t="s">
        <v>1198</v>
      </c>
      <c r="E505" s="252">
        <v>4</v>
      </c>
      <c r="F505" s="252">
        <v>0</v>
      </c>
    </row>
    <row r="506" spans="1:6" x14ac:dyDescent="0.35">
      <c r="A506" s="252" t="s">
        <v>964</v>
      </c>
      <c r="B506" s="252" t="s">
        <v>1006</v>
      </c>
      <c r="C506" s="252">
        <v>3395</v>
      </c>
      <c r="D506" s="252" t="s">
        <v>1147</v>
      </c>
      <c r="E506" s="252">
        <v>4</v>
      </c>
      <c r="F506" s="252">
        <v>0</v>
      </c>
    </row>
    <row r="507" spans="1:6" x14ac:dyDescent="0.35">
      <c r="A507" s="252" t="s">
        <v>964</v>
      </c>
      <c r="B507" s="252" t="s">
        <v>1006</v>
      </c>
      <c r="C507" s="252" t="s">
        <v>3501</v>
      </c>
      <c r="D507" s="252" t="s">
        <v>3501</v>
      </c>
      <c r="E507" s="252">
        <v>4</v>
      </c>
      <c r="F507" s="252">
        <v>0</v>
      </c>
    </row>
    <row r="508" spans="1:6" x14ac:dyDescent="0.35">
      <c r="A508" s="252" t="s">
        <v>964</v>
      </c>
      <c r="B508" s="252" t="s">
        <v>1028</v>
      </c>
      <c r="C508" s="252">
        <v>3980</v>
      </c>
      <c r="D508" s="252" t="s">
        <v>981</v>
      </c>
      <c r="E508" s="252">
        <v>4</v>
      </c>
      <c r="F508" s="252">
        <v>0</v>
      </c>
    </row>
    <row r="509" spans="1:6" x14ac:dyDescent="0.35">
      <c r="A509" s="252" t="s">
        <v>964</v>
      </c>
      <c r="B509" s="252" t="s">
        <v>1028</v>
      </c>
      <c r="C509" s="252" t="s">
        <v>1210</v>
      </c>
      <c r="D509" s="252" t="s">
        <v>1210</v>
      </c>
      <c r="E509" s="252">
        <v>4</v>
      </c>
      <c r="F509" s="252">
        <v>0</v>
      </c>
    </row>
    <row r="510" spans="1:6" x14ac:dyDescent="0.35">
      <c r="A510" s="252" t="s">
        <v>964</v>
      </c>
      <c r="B510" s="252" t="s">
        <v>1034</v>
      </c>
      <c r="C510" s="252" t="s">
        <v>1153</v>
      </c>
      <c r="D510" s="252" t="s">
        <v>1153</v>
      </c>
      <c r="E510" s="252">
        <v>4</v>
      </c>
      <c r="F510" s="252">
        <v>0</v>
      </c>
    </row>
    <row r="511" spans="1:6" x14ac:dyDescent="0.35">
      <c r="A511" s="252" t="s">
        <v>964</v>
      </c>
      <c r="B511" s="252" t="s">
        <v>1048</v>
      </c>
      <c r="C511" s="252">
        <v>2800</v>
      </c>
      <c r="D511" s="252" t="s">
        <v>1139</v>
      </c>
      <c r="E511" s="252">
        <v>4</v>
      </c>
      <c r="F511" s="252">
        <v>0</v>
      </c>
    </row>
    <row r="512" spans="1:6" x14ac:dyDescent="0.35">
      <c r="A512" s="252" t="s">
        <v>964</v>
      </c>
      <c r="B512" s="252" t="s">
        <v>1090</v>
      </c>
      <c r="C512" s="252">
        <v>1401</v>
      </c>
      <c r="D512" s="252" t="s">
        <v>1163</v>
      </c>
      <c r="E512" s="252">
        <v>4</v>
      </c>
      <c r="F512" s="252">
        <v>0</v>
      </c>
    </row>
    <row r="513" spans="1:6" x14ac:dyDescent="0.35">
      <c r="A513" s="252" t="s">
        <v>964</v>
      </c>
      <c r="B513" s="252" t="s">
        <v>1001</v>
      </c>
      <c r="C513" s="252" t="s">
        <v>1215</v>
      </c>
      <c r="D513" s="252" t="s">
        <v>1215</v>
      </c>
      <c r="E513" s="252">
        <v>4</v>
      </c>
      <c r="F513" s="252">
        <v>0</v>
      </c>
    </row>
    <row r="514" spans="1:6" x14ac:dyDescent="0.35">
      <c r="A514" s="252" t="s">
        <v>964</v>
      </c>
      <c r="B514" s="252" t="s">
        <v>994</v>
      </c>
      <c r="C514" s="252" t="s">
        <v>1115</v>
      </c>
      <c r="D514" s="252" t="s">
        <v>1115</v>
      </c>
      <c r="E514" s="252">
        <v>4</v>
      </c>
      <c r="F514" s="252">
        <v>0</v>
      </c>
    </row>
    <row r="515" spans="1:6" x14ac:dyDescent="0.35">
      <c r="A515" s="252" t="s">
        <v>964</v>
      </c>
      <c r="B515" s="252" t="s">
        <v>1000</v>
      </c>
      <c r="C515" s="252">
        <v>1401</v>
      </c>
      <c r="D515" s="252" t="s">
        <v>1163</v>
      </c>
      <c r="E515" s="252">
        <v>4</v>
      </c>
      <c r="F515" s="252">
        <v>0</v>
      </c>
    </row>
    <row r="516" spans="1:6" x14ac:dyDescent="0.35">
      <c r="A516" s="252" t="s">
        <v>964</v>
      </c>
      <c r="B516" s="252" t="s">
        <v>1000</v>
      </c>
      <c r="C516" s="252">
        <v>1406</v>
      </c>
      <c r="D516" s="252" t="s">
        <v>1115</v>
      </c>
      <c r="E516" s="252">
        <v>4</v>
      </c>
      <c r="F516" s="252">
        <v>0</v>
      </c>
    </row>
    <row r="517" spans="1:6" x14ac:dyDescent="0.35">
      <c r="A517" s="252" t="s">
        <v>964</v>
      </c>
      <c r="B517" s="252" t="s">
        <v>989</v>
      </c>
      <c r="C517" s="252" t="s">
        <v>1115</v>
      </c>
      <c r="D517" s="252" t="s">
        <v>1115</v>
      </c>
      <c r="E517" s="252">
        <v>4</v>
      </c>
      <c r="F517" s="252">
        <v>0</v>
      </c>
    </row>
    <row r="518" spans="1:6" x14ac:dyDescent="0.35">
      <c r="A518" s="252" t="s">
        <v>964</v>
      </c>
      <c r="B518" s="252" t="s">
        <v>1051</v>
      </c>
      <c r="C518" s="252">
        <v>1104</v>
      </c>
      <c r="D518" s="252" t="s">
        <v>1200</v>
      </c>
      <c r="E518" s="252">
        <v>4</v>
      </c>
      <c r="F518" s="252">
        <v>0</v>
      </c>
    </row>
    <row r="519" spans="1:6" x14ac:dyDescent="0.35">
      <c r="A519" s="252" t="s">
        <v>964</v>
      </c>
      <c r="B519" s="252" t="s">
        <v>1051</v>
      </c>
      <c r="C519" s="252" t="s">
        <v>1210</v>
      </c>
      <c r="D519" s="252" t="s">
        <v>1163</v>
      </c>
      <c r="E519" s="252">
        <v>4</v>
      </c>
      <c r="F519" s="252">
        <v>0</v>
      </c>
    </row>
    <row r="520" spans="1:6" x14ac:dyDescent="0.35">
      <c r="A520" s="252" t="s">
        <v>964</v>
      </c>
      <c r="B520" s="252" t="s">
        <v>1032</v>
      </c>
      <c r="C520" s="252" t="s">
        <v>1211</v>
      </c>
      <c r="D520" s="252" t="s">
        <v>1211</v>
      </c>
      <c r="E520" s="252">
        <v>4</v>
      </c>
      <c r="F520" s="252">
        <v>0</v>
      </c>
    </row>
    <row r="521" spans="1:6" x14ac:dyDescent="0.35">
      <c r="A521" s="252" t="s">
        <v>964</v>
      </c>
      <c r="B521" s="252" t="s">
        <v>1011</v>
      </c>
      <c r="C521" s="252">
        <v>2660</v>
      </c>
      <c r="D521" s="252" t="s">
        <v>1204</v>
      </c>
      <c r="E521" s="252">
        <v>4</v>
      </c>
      <c r="F521" s="252">
        <v>0</v>
      </c>
    </row>
    <row r="522" spans="1:6" x14ac:dyDescent="0.35">
      <c r="A522" s="252" t="s">
        <v>964</v>
      </c>
      <c r="B522" s="252" t="s">
        <v>1011</v>
      </c>
      <c r="C522" s="252" t="s">
        <v>1163</v>
      </c>
      <c r="D522" s="252" t="s">
        <v>1163</v>
      </c>
      <c r="E522" s="252">
        <v>4</v>
      </c>
      <c r="F522" s="252">
        <v>0</v>
      </c>
    </row>
    <row r="523" spans="1:6" x14ac:dyDescent="0.35">
      <c r="A523" s="252" t="s">
        <v>964</v>
      </c>
      <c r="B523" s="252" t="s">
        <v>1002</v>
      </c>
      <c r="C523" s="252" t="s">
        <v>1215</v>
      </c>
      <c r="D523" s="252" t="s">
        <v>1215</v>
      </c>
      <c r="E523" s="252">
        <v>4</v>
      </c>
      <c r="F523" s="252">
        <v>0</v>
      </c>
    </row>
    <row r="524" spans="1:6" x14ac:dyDescent="0.35">
      <c r="A524" s="252" t="s">
        <v>964</v>
      </c>
      <c r="B524" s="252" t="s">
        <v>1009</v>
      </c>
      <c r="C524" s="252">
        <v>1402</v>
      </c>
      <c r="D524" s="252" t="s">
        <v>1129</v>
      </c>
      <c r="E524" s="252">
        <v>4</v>
      </c>
      <c r="F524" s="252">
        <v>0</v>
      </c>
    </row>
    <row r="525" spans="1:6" x14ac:dyDescent="0.35">
      <c r="A525" s="252" t="s">
        <v>964</v>
      </c>
      <c r="B525" s="252" t="s">
        <v>1035</v>
      </c>
      <c r="C525" s="252">
        <v>1706</v>
      </c>
      <c r="D525" s="252" t="s">
        <v>1177</v>
      </c>
      <c r="E525" s="252">
        <v>4</v>
      </c>
      <c r="F525" s="252">
        <v>0</v>
      </c>
    </row>
    <row r="526" spans="1:6" x14ac:dyDescent="0.35">
      <c r="A526" s="252" t="s">
        <v>964</v>
      </c>
      <c r="B526" s="252" t="s">
        <v>1029</v>
      </c>
      <c r="C526" s="252">
        <v>702</v>
      </c>
      <c r="D526" s="252" t="s">
        <v>1215</v>
      </c>
      <c r="E526" s="252">
        <v>4</v>
      </c>
      <c r="F526" s="252">
        <v>0</v>
      </c>
    </row>
    <row r="527" spans="1:6" x14ac:dyDescent="0.35">
      <c r="A527" s="252" t="s">
        <v>963</v>
      </c>
      <c r="B527" s="252" t="s">
        <v>995</v>
      </c>
      <c r="C527" s="252" t="s">
        <v>1118</v>
      </c>
      <c r="D527" s="252" t="s">
        <v>1118</v>
      </c>
      <c r="E527" s="252">
        <v>3</v>
      </c>
      <c r="F527" s="252">
        <v>0</v>
      </c>
    </row>
    <row r="528" spans="1:6" x14ac:dyDescent="0.35">
      <c r="A528" s="252" t="s">
        <v>1224</v>
      </c>
      <c r="B528" s="252" t="s">
        <v>1069</v>
      </c>
      <c r="C528" s="252" t="s">
        <v>1129</v>
      </c>
      <c r="D528" s="252" t="s">
        <v>1129</v>
      </c>
      <c r="E528" s="252">
        <v>3</v>
      </c>
      <c r="F528" s="252">
        <v>0</v>
      </c>
    </row>
    <row r="529" spans="1:6" x14ac:dyDescent="0.35">
      <c r="A529" s="252" t="s">
        <v>3506</v>
      </c>
      <c r="B529" s="252" t="s">
        <v>1106</v>
      </c>
      <c r="C529" s="252">
        <v>2881</v>
      </c>
      <c r="D529" s="252" t="s">
        <v>1181</v>
      </c>
      <c r="E529" s="252">
        <v>3</v>
      </c>
      <c r="F529" s="252">
        <v>0</v>
      </c>
    </row>
    <row r="530" spans="1:6" x14ac:dyDescent="0.35">
      <c r="A530" s="252" t="s">
        <v>3506</v>
      </c>
      <c r="B530" s="252" t="s">
        <v>3471</v>
      </c>
      <c r="C530" s="252">
        <v>702</v>
      </c>
      <c r="D530" s="252" t="s">
        <v>1215</v>
      </c>
      <c r="E530" s="252">
        <v>3</v>
      </c>
      <c r="F530" s="252">
        <v>0</v>
      </c>
    </row>
    <row r="531" spans="1:6" x14ac:dyDescent="0.35">
      <c r="A531" s="252" t="s">
        <v>3506</v>
      </c>
      <c r="B531" s="252" t="s">
        <v>3480</v>
      </c>
      <c r="C531" s="252">
        <v>702</v>
      </c>
      <c r="D531" s="252" t="s">
        <v>1215</v>
      </c>
      <c r="E531" s="252">
        <v>3</v>
      </c>
      <c r="F531" s="252">
        <v>0</v>
      </c>
    </row>
    <row r="532" spans="1:6" x14ac:dyDescent="0.35">
      <c r="A532" s="252" t="s">
        <v>3506</v>
      </c>
      <c r="B532" s="252" t="s">
        <v>1021</v>
      </c>
      <c r="C532" s="252">
        <v>1401</v>
      </c>
      <c r="D532" s="252" t="s">
        <v>1163</v>
      </c>
      <c r="E532" s="252">
        <v>3</v>
      </c>
      <c r="F532" s="252">
        <v>0</v>
      </c>
    </row>
    <row r="533" spans="1:6" x14ac:dyDescent="0.35">
      <c r="A533" s="252" t="s">
        <v>3506</v>
      </c>
      <c r="B533" s="252" t="s">
        <v>3483</v>
      </c>
      <c r="C533" s="252" t="s">
        <v>1206</v>
      </c>
      <c r="D533" s="252" t="s">
        <v>1206</v>
      </c>
      <c r="E533" s="252">
        <v>3</v>
      </c>
      <c r="F533" s="252">
        <v>0</v>
      </c>
    </row>
    <row r="534" spans="1:6" x14ac:dyDescent="0.35">
      <c r="A534" s="252" t="s">
        <v>3506</v>
      </c>
      <c r="B534" s="252" t="s">
        <v>3484</v>
      </c>
      <c r="C534" s="252" t="s">
        <v>981</v>
      </c>
      <c r="D534" s="252" t="s">
        <v>981</v>
      </c>
      <c r="E534" s="252">
        <v>3</v>
      </c>
      <c r="F534" s="252">
        <v>0</v>
      </c>
    </row>
    <row r="535" spans="1:6" x14ac:dyDescent="0.35">
      <c r="A535" s="252" t="s">
        <v>3506</v>
      </c>
      <c r="B535" s="252" t="s">
        <v>1096</v>
      </c>
      <c r="C535" s="252" t="s">
        <v>1210</v>
      </c>
      <c r="D535" s="252" t="s">
        <v>1210</v>
      </c>
      <c r="E535" s="252">
        <v>3</v>
      </c>
      <c r="F535" s="252">
        <v>0</v>
      </c>
    </row>
    <row r="536" spans="1:6" x14ac:dyDescent="0.35">
      <c r="A536" s="252" t="s">
        <v>3506</v>
      </c>
      <c r="B536" s="252" t="s">
        <v>1005</v>
      </c>
      <c r="C536" s="252" t="s">
        <v>1175</v>
      </c>
      <c r="D536" s="252" t="s">
        <v>1175</v>
      </c>
      <c r="E536" s="252">
        <v>3</v>
      </c>
      <c r="F536" s="252">
        <v>0</v>
      </c>
    </row>
    <row r="537" spans="1:6" x14ac:dyDescent="0.35">
      <c r="A537" s="252" t="s">
        <v>3506</v>
      </c>
      <c r="B537" s="252" t="s">
        <v>987</v>
      </c>
      <c r="C537" s="252" t="s">
        <v>1153</v>
      </c>
      <c r="D537" s="252" t="s">
        <v>1153</v>
      </c>
      <c r="E537" s="252">
        <v>3</v>
      </c>
      <c r="F537" s="252">
        <v>0</v>
      </c>
    </row>
    <row r="538" spans="1:6" x14ac:dyDescent="0.35">
      <c r="A538" s="252" t="s">
        <v>3506</v>
      </c>
      <c r="B538" s="252" t="s">
        <v>1037</v>
      </c>
      <c r="C538" s="252">
        <v>2800</v>
      </c>
      <c r="D538" s="252" t="s">
        <v>1139</v>
      </c>
      <c r="E538" s="252">
        <v>3</v>
      </c>
      <c r="F538" s="252">
        <v>0</v>
      </c>
    </row>
    <row r="539" spans="1:6" x14ac:dyDescent="0.35">
      <c r="A539" s="252" t="s">
        <v>3506</v>
      </c>
      <c r="B539" s="252" t="s">
        <v>996</v>
      </c>
      <c r="C539" s="252" t="s">
        <v>1159</v>
      </c>
      <c r="D539" s="252" t="s">
        <v>1159</v>
      </c>
      <c r="E539" s="252">
        <v>3</v>
      </c>
      <c r="F539" s="252">
        <v>0</v>
      </c>
    </row>
    <row r="540" spans="1:6" x14ac:dyDescent="0.35">
      <c r="A540" s="252" t="s">
        <v>3506</v>
      </c>
      <c r="B540" s="252" t="s">
        <v>1025</v>
      </c>
      <c r="C540" s="252">
        <v>1709</v>
      </c>
      <c r="D540" s="252" t="s">
        <v>1167</v>
      </c>
      <c r="E540" s="252">
        <v>3</v>
      </c>
      <c r="F540" s="252">
        <v>0</v>
      </c>
    </row>
    <row r="541" spans="1:6" x14ac:dyDescent="0.35">
      <c r="A541" s="252" t="s">
        <v>1223</v>
      </c>
      <c r="B541" s="252" t="s">
        <v>1047</v>
      </c>
      <c r="C541" s="252">
        <v>7099</v>
      </c>
      <c r="D541" s="252" t="s">
        <v>1136</v>
      </c>
      <c r="E541" s="252">
        <v>3</v>
      </c>
      <c r="F541" s="252">
        <v>0</v>
      </c>
    </row>
    <row r="542" spans="1:6" x14ac:dyDescent="0.35">
      <c r="A542" s="252" t="s">
        <v>1223</v>
      </c>
      <c r="B542" s="252" t="s">
        <v>1047</v>
      </c>
      <c r="C542" s="252" t="s">
        <v>1122</v>
      </c>
      <c r="D542" s="252" t="s">
        <v>1122</v>
      </c>
      <c r="E542" s="252">
        <v>3</v>
      </c>
      <c r="F542" s="252">
        <v>0</v>
      </c>
    </row>
    <row r="543" spans="1:6" x14ac:dyDescent="0.35">
      <c r="A543" s="252" t="s">
        <v>965</v>
      </c>
      <c r="B543" s="252" t="s">
        <v>992</v>
      </c>
      <c r="C543" s="252" t="s">
        <v>1210</v>
      </c>
      <c r="D543" s="252" t="s">
        <v>1210</v>
      </c>
      <c r="E543" s="252">
        <v>3</v>
      </c>
      <c r="F543" s="252">
        <v>0</v>
      </c>
    </row>
    <row r="544" spans="1:6" x14ac:dyDescent="0.35">
      <c r="A544" s="252" t="s">
        <v>965</v>
      </c>
      <c r="B544" s="252" t="s">
        <v>992</v>
      </c>
      <c r="C544" s="252">
        <v>7719599</v>
      </c>
      <c r="D544" s="252" t="s">
        <v>1169</v>
      </c>
      <c r="E544" s="252">
        <v>3</v>
      </c>
      <c r="F544" s="252">
        <v>0</v>
      </c>
    </row>
    <row r="545" spans="1:6" x14ac:dyDescent="0.35">
      <c r="A545" s="252" t="s">
        <v>965</v>
      </c>
      <c r="B545" s="252" t="s">
        <v>1014</v>
      </c>
      <c r="C545" s="252" t="s">
        <v>1175</v>
      </c>
      <c r="D545" s="252" t="s">
        <v>1175</v>
      </c>
      <c r="E545" s="252">
        <v>3</v>
      </c>
      <c r="F545" s="252">
        <v>0</v>
      </c>
    </row>
    <row r="546" spans="1:6" x14ac:dyDescent="0.35">
      <c r="A546" s="252" t="s">
        <v>1220</v>
      </c>
      <c r="B546" s="252" t="s">
        <v>1007</v>
      </c>
      <c r="C546" s="252">
        <v>1401</v>
      </c>
      <c r="D546" s="252" t="s">
        <v>1163</v>
      </c>
      <c r="E546" s="252">
        <v>3</v>
      </c>
      <c r="F546" s="252">
        <v>0</v>
      </c>
    </row>
    <row r="547" spans="1:6" x14ac:dyDescent="0.35">
      <c r="A547" s="252" t="s">
        <v>1220</v>
      </c>
      <c r="B547" s="252" t="s">
        <v>1059</v>
      </c>
      <c r="C547" s="252">
        <v>2660</v>
      </c>
      <c r="D547" s="252" t="s">
        <v>1204</v>
      </c>
      <c r="E547" s="252">
        <v>3</v>
      </c>
      <c r="F547" s="252">
        <v>0</v>
      </c>
    </row>
    <row r="548" spans="1:6" x14ac:dyDescent="0.35">
      <c r="A548" s="252" t="s">
        <v>1220</v>
      </c>
      <c r="B548" s="252" t="s">
        <v>1059</v>
      </c>
      <c r="C548" s="252" t="s">
        <v>1167</v>
      </c>
      <c r="D548" s="252" t="s">
        <v>1167</v>
      </c>
      <c r="E548" s="252">
        <v>3</v>
      </c>
      <c r="F548" s="252">
        <v>0</v>
      </c>
    </row>
    <row r="549" spans="1:6" x14ac:dyDescent="0.35">
      <c r="A549" s="252" t="s">
        <v>964</v>
      </c>
      <c r="B549" s="252" t="s">
        <v>1006</v>
      </c>
      <c r="C549" s="252">
        <v>5762</v>
      </c>
      <c r="D549" s="252" t="s">
        <v>1125</v>
      </c>
      <c r="E549" s="252">
        <v>3</v>
      </c>
      <c r="F549" s="252">
        <v>0</v>
      </c>
    </row>
    <row r="550" spans="1:6" x14ac:dyDescent="0.35">
      <c r="A550" s="252" t="s">
        <v>964</v>
      </c>
      <c r="B550" s="252" t="s">
        <v>1006</v>
      </c>
      <c r="C550" s="252">
        <v>6297</v>
      </c>
      <c r="D550" s="252" t="s">
        <v>1172</v>
      </c>
      <c r="E550" s="252">
        <v>3</v>
      </c>
      <c r="F550" s="252">
        <v>0</v>
      </c>
    </row>
    <row r="551" spans="1:6" x14ac:dyDescent="0.35">
      <c r="A551" s="252" t="s">
        <v>964</v>
      </c>
      <c r="B551" s="252" t="s">
        <v>1006</v>
      </c>
      <c r="C551" s="252" t="s">
        <v>1115</v>
      </c>
      <c r="D551" s="252" t="s">
        <v>1115</v>
      </c>
      <c r="E551" s="252">
        <v>3</v>
      </c>
      <c r="F551" s="252">
        <v>0</v>
      </c>
    </row>
    <row r="552" spans="1:6" x14ac:dyDescent="0.35">
      <c r="A552" s="252" t="s">
        <v>964</v>
      </c>
      <c r="B552" s="252" t="s">
        <v>1061</v>
      </c>
      <c r="C552" s="252">
        <v>3980</v>
      </c>
      <c r="D552" s="252" t="s">
        <v>981</v>
      </c>
      <c r="E552" s="252">
        <v>3</v>
      </c>
      <c r="F552" s="252">
        <v>0</v>
      </c>
    </row>
    <row r="553" spans="1:6" x14ac:dyDescent="0.35">
      <c r="A553" s="252" t="s">
        <v>964</v>
      </c>
      <c r="B553" s="252" t="s">
        <v>1061</v>
      </c>
      <c r="C553" s="252">
        <v>305</v>
      </c>
      <c r="D553" s="252" t="s">
        <v>1171</v>
      </c>
      <c r="E553" s="252">
        <v>3</v>
      </c>
      <c r="F553" s="252">
        <v>0</v>
      </c>
    </row>
    <row r="554" spans="1:6" x14ac:dyDescent="0.35">
      <c r="A554" s="252" t="s">
        <v>964</v>
      </c>
      <c r="B554" s="252" t="s">
        <v>1015</v>
      </c>
      <c r="C554" s="252" t="s">
        <v>1167</v>
      </c>
      <c r="D554" s="252" t="s">
        <v>1167</v>
      </c>
      <c r="E554" s="252">
        <v>3</v>
      </c>
      <c r="F554" s="252">
        <v>0</v>
      </c>
    </row>
    <row r="555" spans="1:6" x14ac:dyDescent="0.35">
      <c r="A555" s="252" t="s">
        <v>964</v>
      </c>
      <c r="B555" s="252" t="s">
        <v>994</v>
      </c>
      <c r="C555" s="252" t="s">
        <v>1144</v>
      </c>
      <c r="D555" s="252" t="s">
        <v>1144</v>
      </c>
      <c r="E555" s="252">
        <v>3</v>
      </c>
      <c r="F555" s="252">
        <v>0</v>
      </c>
    </row>
    <row r="556" spans="1:6" x14ac:dyDescent="0.35">
      <c r="A556" s="252" t="s">
        <v>964</v>
      </c>
      <c r="B556" s="252" t="s">
        <v>994</v>
      </c>
      <c r="C556" s="252" t="s">
        <v>1215</v>
      </c>
      <c r="D556" s="252" t="s">
        <v>1215</v>
      </c>
      <c r="E556" s="252">
        <v>3</v>
      </c>
      <c r="F556" s="252">
        <v>0</v>
      </c>
    </row>
    <row r="557" spans="1:6" x14ac:dyDescent="0.35">
      <c r="A557" s="252" t="s">
        <v>964</v>
      </c>
      <c r="B557" s="252" t="s">
        <v>1000</v>
      </c>
      <c r="C557" s="252" t="s">
        <v>1210</v>
      </c>
      <c r="D557" s="252" t="s">
        <v>1163</v>
      </c>
      <c r="E557" s="252">
        <v>3</v>
      </c>
      <c r="F557" s="252">
        <v>0</v>
      </c>
    </row>
    <row r="558" spans="1:6" x14ac:dyDescent="0.35">
      <c r="A558" s="252" t="s">
        <v>964</v>
      </c>
      <c r="B558" s="252" t="s">
        <v>1000</v>
      </c>
      <c r="C558" s="252">
        <v>701</v>
      </c>
      <c r="D558" s="252" t="s">
        <v>1110</v>
      </c>
      <c r="E558" s="252">
        <v>3</v>
      </c>
      <c r="F558" s="252">
        <v>0</v>
      </c>
    </row>
    <row r="559" spans="1:6" x14ac:dyDescent="0.35">
      <c r="A559" s="252" t="s">
        <v>964</v>
      </c>
      <c r="B559" s="252" t="s">
        <v>1056</v>
      </c>
      <c r="C559" s="252">
        <v>6963</v>
      </c>
      <c r="D559" s="252" t="s">
        <v>1123</v>
      </c>
      <c r="E559" s="252">
        <v>3</v>
      </c>
      <c r="F559" s="252">
        <v>0</v>
      </c>
    </row>
    <row r="560" spans="1:6" x14ac:dyDescent="0.35">
      <c r="A560" s="252" t="s">
        <v>964</v>
      </c>
      <c r="B560" s="252" t="s">
        <v>989</v>
      </c>
      <c r="C560" s="252" t="s">
        <v>1144</v>
      </c>
      <c r="D560" s="252" t="s">
        <v>1144</v>
      </c>
      <c r="E560" s="252">
        <v>3</v>
      </c>
      <c r="F560" s="252">
        <v>0</v>
      </c>
    </row>
    <row r="561" spans="1:6" x14ac:dyDescent="0.35">
      <c r="A561" s="252" t="s">
        <v>964</v>
      </c>
      <c r="B561" s="252" t="s">
        <v>989</v>
      </c>
      <c r="C561" s="252" t="s">
        <v>1167</v>
      </c>
      <c r="D561" s="252" t="s">
        <v>1167</v>
      </c>
      <c r="E561" s="252">
        <v>3</v>
      </c>
      <c r="F561" s="252">
        <v>0</v>
      </c>
    </row>
    <row r="562" spans="1:6" x14ac:dyDescent="0.35">
      <c r="A562" s="252" t="s">
        <v>964</v>
      </c>
      <c r="B562" s="252" t="s">
        <v>1051</v>
      </c>
      <c r="C562" s="252" t="s">
        <v>1211</v>
      </c>
      <c r="D562" s="252" t="s">
        <v>1211</v>
      </c>
      <c r="E562" s="252">
        <v>3</v>
      </c>
      <c r="F562" s="252">
        <v>0</v>
      </c>
    </row>
    <row r="563" spans="1:6" x14ac:dyDescent="0.35">
      <c r="A563" s="252" t="s">
        <v>964</v>
      </c>
      <c r="B563" s="252" t="s">
        <v>1051</v>
      </c>
      <c r="C563" s="252" t="s">
        <v>1215</v>
      </c>
      <c r="D563" s="252" t="s">
        <v>1215</v>
      </c>
      <c r="E563" s="252">
        <v>3</v>
      </c>
      <c r="F563" s="252">
        <v>0</v>
      </c>
    </row>
    <row r="564" spans="1:6" x14ac:dyDescent="0.35">
      <c r="A564" s="252" t="s">
        <v>964</v>
      </c>
      <c r="B564" s="252" t="s">
        <v>1032</v>
      </c>
      <c r="C564" s="252">
        <v>1709</v>
      </c>
      <c r="D564" s="252" t="s">
        <v>1167</v>
      </c>
      <c r="E564" s="252">
        <v>3</v>
      </c>
      <c r="F564" s="252">
        <v>0</v>
      </c>
    </row>
    <row r="565" spans="1:6" x14ac:dyDescent="0.35">
      <c r="A565" s="252" t="s">
        <v>964</v>
      </c>
      <c r="B565" s="252" t="s">
        <v>1019</v>
      </c>
      <c r="C565" s="252" t="s">
        <v>1163</v>
      </c>
      <c r="D565" s="252" t="s">
        <v>1163</v>
      </c>
      <c r="E565" s="252">
        <v>3</v>
      </c>
      <c r="F565" s="252">
        <v>0</v>
      </c>
    </row>
    <row r="566" spans="1:6" x14ac:dyDescent="0.35">
      <c r="A566" s="252" t="s">
        <v>964</v>
      </c>
      <c r="B566" s="252" t="s">
        <v>1019</v>
      </c>
      <c r="C566" s="252" t="s">
        <v>1210</v>
      </c>
      <c r="D566" s="252" t="s">
        <v>1210</v>
      </c>
      <c r="E566" s="252">
        <v>3</v>
      </c>
      <c r="F566" s="252">
        <v>0</v>
      </c>
    </row>
    <row r="567" spans="1:6" x14ac:dyDescent="0.35">
      <c r="A567" s="252" t="s">
        <v>964</v>
      </c>
      <c r="B567" s="252" t="s">
        <v>1013</v>
      </c>
      <c r="C567" s="252">
        <v>1401</v>
      </c>
      <c r="D567" s="252" t="s">
        <v>1163</v>
      </c>
      <c r="E567" s="252">
        <v>3</v>
      </c>
      <c r="F567" s="252">
        <v>0</v>
      </c>
    </row>
    <row r="568" spans="1:6" x14ac:dyDescent="0.35">
      <c r="A568" s="252" t="s">
        <v>964</v>
      </c>
      <c r="B568" s="252" t="s">
        <v>985</v>
      </c>
      <c r="C568" s="252" t="s">
        <v>1135</v>
      </c>
      <c r="D568" s="252" t="s">
        <v>1135</v>
      </c>
      <c r="E568" s="252">
        <v>3</v>
      </c>
      <c r="F568" s="252">
        <v>0</v>
      </c>
    </row>
    <row r="569" spans="1:6" x14ac:dyDescent="0.35">
      <c r="A569" s="252" t="s">
        <v>964</v>
      </c>
      <c r="B569" s="252" t="s">
        <v>985</v>
      </c>
      <c r="C569" s="252" t="s">
        <v>1125</v>
      </c>
      <c r="D569" s="252" t="s">
        <v>1125</v>
      </c>
      <c r="E569" s="252">
        <v>3</v>
      </c>
      <c r="F569" s="252">
        <v>0</v>
      </c>
    </row>
    <row r="570" spans="1:6" x14ac:dyDescent="0.35">
      <c r="A570" s="252" t="s">
        <v>964</v>
      </c>
      <c r="B570" s="252" t="s">
        <v>1002</v>
      </c>
      <c r="C570" s="252" t="s">
        <v>1185</v>
      </c>
      <c r="D570" s="252" t="s">
        <v>1185</v>
      </c>
      <c r="E570" s="252">
        <v>3</v>
      </c>
      <c r="F570" s="252">
        <v>0</v>
      </c>
    </row>
    <row r="571" spans="1:6" x14ac:dyDescent="0.35">
      <c r="A571" s="252" t="s">
        <v>964</v>
      </c>
      <c r="B571" s="252" t="s">
        <v>1002</v>
      </c>
      <c r="C571" s="252" t="s">
        <v>1200</v>
      </c>
      <c r="D571" s="252" t="s">
        <v>1200</v>
      </c>
      <c r="E571" s="252">
        <v>3</v>
      </c>
      <c r="F571" s="252">
        <v>0</v>
      </c>
    </row>
    <row r="572" spans="1:6" x14ac:dyDescent="0.35">
      <c r="A572" s="252" t="s">
        <v>964</v>
      </c>
      <c r="B572" s="252" t="s">
        <v>1002</v>
      </c>
      <c r="C572" s="252" t="s">
        <v>1153</v>
      </c>
      <c r="D572" s="252" t="s">
        <v>1153</v>
      </c>
      <c r="E572" s="252">
        <v>3</v>
      </c>
      <c r="F572" s="252">
        <v>0</v>
      </c>
    </row>
    <row r="573" spans="1:6" x14ac:dyDescent="0.35">
      <c r="A573" s="252" t="s">
        <v>964</v>
      </c>
      <c r="B573" s="252" t="s">
        <v>1008</v>
      </c>
      <c r="C573" s="252">
        <v>1104</v>
      </c>
      <c r="D573" s="252" t="s">
        <v>1200</v>
      </c>
      <c r="E573" s="252">
        <v>3</v>
      </c>
      <c r="F573" s="252">
        <v>0</v>
      </c>
    </row>
    <row r="574" spans="1:6" x14ac:dyDescent="0.35">
      <c r="A574" s="252" t="s">
        <v>964</v>
      </c>
      <c r="B574" s="252" t="s">
        <v>1008</v>
      </c>
      <c r="C574" s="252" t="s">
        <v>1210</v>
      </c>
      <c r="D574" s="252" t="s">
        <v>1163</v>
      </c>
      <c r="E574" s="252">
        <v>3</v>
      </c>
      <c r="F574" s="252">
        <v>0</v>
      </c>
    </row>
    <row r="575" spans="1:6" x14ac:dyDescent="0.35">
      <c r="A575" s="252" t="s">
        <v>964</v>
      </c>
      <c r="B575" s="252" t="s">
        <v>1008</v>
      </c>
      <c r="C575" s="252" t="s">
        <v>1210</v>
      </c>
      <c r="D575" s="252" t="s">
        <v>1210</v>
      </c>
      <c r="E575" s="252">
        <v>3</v>
      </c>
      <c r="F575" s="252">
        <v>0</v>
      </c>
    </row>
    <row r="576" spans="1:6" x14ac:dyDescent="0.35">
      <c r="A576" s="252" t="s">
        <v>964</v>
      </c>
      <c r="B576" s="252" t="s">
        <v>1008</v>
      </c>
      <c r="C576" s="252">
        <v>1709</v>
      </c>
      <c r="D576" s="252" t="s">
        <v>1167</v>
      </c>
      <c r="E576" s="252">
        <v>3</v>
      </c>
      <c r="F576" s="252">
        <v>0</v>
      </c>
    </row>
    <row r="577" spans="1:6" x14ac:dyDescent="0.35">
      <c r="A577" s="252" t="s">
        <v>964</v>
      </c>
      <c r="B577" s="252" t="s">
        <v>1009</v>
      </c>
      <c r="C577" s="252">
        <v>6777</v>
      </c>
      <c r="D577" s="252" t="s">
        <v>1166</v>
      </c>
      <c r="E577" s="252">
        <v>3</v>
      </c>
      <c r="F577" s="252">
        <v>0</v>
      </c>
    </row>
    <row r="578" spans="1:6" x14ac:dyDescent="0.35">
      <c r="A578" s="252" t="s">
        <v>964</v>
      </c>
      <c r="B578" s="252" t="s">
        <v>1009</v>
      </c>
      <c r="C578" s="252" t="s">
        <v>1200</v>
      </c>
      <c r="D578" s="252" t="s">
        <v>1200</v>
      </c>
      <c r="E578" s="252">
        <v>3</v>
      </c>
      <c r="F578" s="252">
        <v>0</v>
      </c>
    </row>
    <row r="579" spans="1:6" x14ac:dyDescent="0.35">
      <c r="A579" s="252" t="s">
        <v>964</v>
      </c>
      <c r="B579" s="252" t="s">
        <v>1009</v>
      </c>
      <c r="C579" s="252" t="s">
        <v>1169</v>
      </c>
      <c r="D579" s="252" t="s">
        <v>1169</v>
      </c>
      <c r="E579" s="252">
        <v>3</v>
      </c>
      <c r="F579" s="252">
        <v>0</v>
      </c>
    </row>
    <row r="580" spans="1:6" x14ac:dyDescent="0.35">
      <c r="A580" s="252" t="s">
        <v>964</v>
      </c>
      <c r="B580" s="252" t="s">
        <v>1009</v>
      </c>
      <c r="C580" s="252" t="s">
        <v>1211</v>
      </c>
      <c r="D580" s="252" t="s">
        <v>1211</v>
      </c>
      <c r="E580" s="252">
        <v>3</v>
      </c>
      <c r="F580" s="252">
        <v>0</v>
      </c>
    </row>
    <row r="581" spans="1:6" x14ac:dyDescent="0.35">
      <c r="A581" s="252" t="s">
        <v>964</v>
      </c>
      <c r="B581" s="252" t="s">
        <v>1009</v>
      </c>
      <c r="C581" s="252" t="s">
        <v>1207</v>
      </c>
      <c r="D581" s="252" t="s">
        <v>1207</v>
      </c>
      <c r="E581" s="252">
        <v>3</v>
      </c>
      <c r="F581" s="252">
        <v>0</v>
      </c>
    </row>
    <row r="582" spans="1:6" x14ac:dyDescent="0.35">
      <c r="A582" s="252" t="s">
        <v>964</v>
      </c>
      <c r="B582" s="252" t="s">
        <v>1009</v>
      </c>
      <c r="C582" s="252" t="s">
        <v>1161</v>
      </c>
      <c r="D582" s="252" t="s">
        <v>1161</v>
      </c>
      <c r="E582" s="252">
        <v>3</v>
      </c>
      <c r="F582" s="252">
        <v>0</v>
      </c>
    </row>
    <row r="583" spans="1:6" x14ac:dyDescent="0.35">
      <c r="A583" s="252" t="s">
        <v>964</v>
      </c>
      <c r="B583" s="252" t="s">
        <v>1029</v>
      </c>
      <c r="C583" s="252" t="s">
        <v>1163</v>
      </c>
      <c r="D583" s="252" t="s">
        <v>1163</v>
      </c>
      <c r="E583" s="252">
        <v>3</v>
      </c>
      <c r="F583" s="252">
        <v>0</v>
      </c>
    </row>
    <row r="584" spans="1:6" x14ac:dyDescent="0.35">
      <c r="A584" s="252" t="s">
        <v>964</v>
      </c>
      <c r="B584" s="252" t="s">
        <v>1029</v>
      </c>
      <c r="C584" s="252" t="s">
        <v>1167</v>
      </c>
      <c r="D584" s="252" t="s">
        <v>1167</v>
      </c>
      <c r="E584" s="252">
        <v>3</v>
      </c>
      <c r="F584" s="252">
        <v>0</v>
      </c>
    </row>
    <row r="585" spans="1:6" x14ac:dyDescent="0.35">
      <c r="A585" s="252" t="s">
        <v>963</v>
      </c>
      <c r="B585" s="252" t="s">
        <v>995</v>
      </c>
      <c r="C585" s="252" t="s">
        <v>1204</v>
      </c>
      <c r="D585" s="252" t="s">
        <v>1204</v>
      </c>
      <c r="E585" s="252">
        <v>2</v>
      </c>
      <c r="F585" s="252">
        <v>0</v>
      </c>
    </row>
    <row r="586" spans="1:6" x14ac:dyDescent="0.35">
      <c r="A586" s="252" t="s">
        <v>963</v>
      </c>
      <c r="B586" s="252" t="s">
        <v>995</v>
      </c>
      <c r="C586" s="252" t="s">
        <v>1114</v>
      </c>
      <c r="D586" s="252" t="s">
        <v>1114</v>
      </c>
      <c r="E586" s="252">
        <v>2</v>
      </c>
      <c r="F586" s="252">
        <v>0</v>
      </c>
    </row>
    <row r="587" spans="1:6" x14ac:dyDescent="0.35">
      <c r="A587" s="252" t="s">
        <v>963</v>
      </c>
      <c r="B587" s="252" t="s">
        <v>995</v>
      </c>
      <c r="C587" s="252" t="s">
        <v>1163</v>
      </c>
      <c r="D587" s="252" t="s">
        <v>1163</v>
      </c>
      <c r="E587" s="252">
        <v>2</v>
      </c>
      <c r="F587" s="252">
        <v>0</v>
      </c>
    </row>
    <row r="588" spans="1:6" x14ac:dyDescent="0.35">
      <c r="A588" s="252" t="s">
        <v>963</v>
      </c>
      <c r="B588" s="252" t="s">
        <v>995</v>
      </c>
      <c r="C588" s="252" t="s">
        <v>1208</v>
      </c>
      <c r="D588" s="252" t="s">
        <v>1208</v>
      </c>
      <c r="E588" s="252">
        <v>2</v>
      </c>
      <c r="F588" s="252">
        <v>0</v>
      </c>
    </row>
    <row r="589" spans="1:6" x14ac:dyDescent="0.35">
      <c r="A589" s="252" t="s">
        <v>963</v>
      </c>
      <c r="B589" s="252" t="s">
        <v>995</v>
      </c>
      <c r="C589" s="252" t="s">
        <v>1167</v>
      </c>
      <c r="D589" s="252" t="s">
        <v>1167</v>
      </c>
      <c r="E589" s="252">
        <v>2</v>
      </c>
      <c r="F589" s="252">
        <v>0</v>
      </c>
    </row>
    <row r="590" spans="1:6" x14ac:dyDescent="0.35">
      <c r="A590" s="252" t="s">
        <v>963</v>
      </c>
      <c r="B590" s="252" t="s">
        <v>1020</v>
      </c>
      <c r="C590" s="252" t="s">
        <v>1204</v>
      </c>
      <c r="D590" s="252" t="s">
        <v>1204</v>
      </c>
      <c r="E590" s="252">
        <v>2</v>
      </c>
      <c r="F590" s="252">
        <v>0</v>
      </c>
    </row>
    <row r="591" spans="1:6" x14ac:dyDescent="0.35">
      <c r="A591" s="252" t="s">
        <v>963</v>
      </c>
      <c r="B591" s="252" t="s">
        <v>1020</v>
      </c>
      <c r="C591" s="252" t="s">
        <v>1134</v>
      </c>
      <c r="D591" s="252" t="s">
        <v>1134</v>
      </c>
      <c r="E591" s="252">
        <v>2</v>
      </c>
      <c r="F591" s="252">
        <v>0</v>
      </c>
    </row>
    <row r="592" spans="1:6" x14ac:dyDescent="0.35">
      <c r="A592" s="252" t="s">
        <v>963</v>
      </c>
      <c r="B592" s="252" t="s">
        <v>1020</v>
      </c>
      <c r="C592" s="252" t="s">
        <v>1114</v>
      </c>
      <c r="D592" s="252" t="s">
        <v>1114</v>
      </c>
      <c r="E592" s="252">
        <v>2</v>
      </c>
      <c r="F592" s="252">
        <v>0</v>
      </c>
    </row>
    <row r="593" spans="1:6" x14ac:dyDescent="0.35">
      <c r="A593" s="252" t="s">
        <v>963</v>
      </c>
      <c r="B593" s="252" t="s">
        <v>1020</v>
      </c>
      <c r="C593" s="252" t="s">
        <v>1200</v>
      </c>
      <c r="D593" s="252" t="s">
        <v>1200</v>
      </c>
      <c r="E593" s="252">
        <v>2</v>
      </c>
      <c r="F593" s="252">
        <v>0</v>
      </c>
    </row>
    <row r="594" spans="1:6" x14ac:dyDescent="0.35">
      <c r="A594" s="252" t="s">
        <v>963</v>
      </c>
      <c r="B594" s="252" t="s">
        <v>1020</v>
      </c>
      <c r="C594" s="252" t="s">
        <v>1125</v>
      </c>
      <c r="D594" s="252" t="s">
        <v>1125</v>
      </c>
      <c r="E594" s="252">
        <v>2</v>
      </c>
      <c r="F594" s="252">
        <v>0</v>
      </c>
    </row>
    <row r="595" spans="1:6" x14ac:dyDescent="0.35">
      <c r="A595" s="252" t="s">
        <v>963</v>
      </c>
      <c r="B595" s="252" t="s">
        <v>1003</v>
      </c>
      <c r="C595" s="252">
        <v>5762</v>
      </c>
      <c r="D595" s="252" t="s">
        <v>1125</v>
      </c>
      <c r="E595" s="252">
        <v>2</v>
      </c>
      <c r="F595" s="252">
        <v>0</v>
      </c>
    </row>
    <row r="596" spans="1:6" x14ac:dyDescent="0.35">
      <c r="A596" s="252" t="s">
        <v>963</v>
      </c>
      <c r="B596" s="252" t="s">
        <v>1003</v>
      </c>
      <c r="C596" s="252" t="s">
        <v>1166</v>
      </c>
      <c r="D596" s="252" t="s">
        <v>1166</v>
      </c>
      <c r="E596" s="252">
        <v>2</v>
      </c>
      <c r="F596" s="252">
        <v>0</v>
      </c>
    </row>
    <row r="597" spans="1:6" x14ac:dyDescent="0.35">
      <c r="A597" s="252" t="s">
        <v>963</v>
      </c>
      <c r="B597" s="252" t="s">
        <v>1003</v>
      </c>
      <c r="C597" s="252" t="s">
        <v>1130</v>
      </c>
      <c r="D597" s="252" t="s">
        <v>1130</v>
      </c>
      <c r="E597" s="252">
        <v>2</v>
      </c>
      <c r="F597" s="252">
        <v>0</v>
      </c>
    </row>
    <row r="598" spans="1:6" x14ac:dyDescent="0.35">
      <c r="A598" s="252" t="s">
        <v>1224</v>
      </c>
      <c r="B598" s="252" t="s">
        <v>1069</v>
      </c>
      <c r="C598" s="252">
        <v>3158</v>
      </c>
      <c r="D598" s="252" t="s">
        <v>1130</v>
      </c>
      <c r="E598" s="252">
        <v>2</v>
      </c>
      <c r="F598" s="252">
        <v>0</v>
      </c>
    </row>
    <row r="599" spans="1:6" x14ac:dyDescent="0.35">
      <c r="A599" s="252" t="s">
        <v>1224</v>
      </c>
      <c r="B599" s="252" t="s">
        <v>1069</v>
      </c>
      <c r="C599" s="252" t="s">
        <v>1193</v>
      </c>
      <c r="D599" s="252" t="s">
        <v>1193</v>
      </c>
      <c r="E599" s="252">
        <v>2</v>
      </c>
      <c r="F599" s="252">
        <v>0</v>
      </c>
    </row>
    <row r="600" spans="1:6" x14ac:dyDescent="0.35">
      <c r="A600" s="252" t="s">
        <v>3506</v>
      </c>
      <c r="B600" s="252" t="s">
        <v>1071</v>
      </c>
      <c r="C600" s="252">
        <v>7161</v>
      </c>
      <c r="D600" s="252" t="s">
        <v>3508</v>
      </c>
      <c r="E600" s="252">
        <v>2</v>
      </c>
      <c r="F600" s="252">
        <v>0</v>
      </c>
    </row>
    <row r="601" spans="1:6" x14ac:dyDescent="0.35">
      <c r="A601" s="252" t="s">
        <v>3506</v>
      </c>
      <c r="B601" s="252" t="s">
        <v>3467</v>
      </c>
      <c r="C601" s="252" t="s">
        <v>1115</v>
      </c>
      <c r="D601" s="252" t="s">
        <v>1115</v>
      </c>
      <c r="E601" s="252">
        <v>2</v>
      </c>
      <c r="F601" s="252">
        <v>0</v>
      </c>
    </row>
    <row r="602" spans="1:6" x14ac:dyDescent="0.35">
      <c r="A602" s="252" t="s">
        <v>3506</v>
      </c>
      <c r="B602" s="252" t="s">
        <v>3474</v>
      </c>
      <c r="C602" s="252">
        <v>1406</v>
      </c>
      <c r="D602" s="252" t="s">
        <v>1115</v>
      </c>
      <c r="E602" s="252">
        <v>2</v>
      </c>
      <c r="F602" s="252">
        <v>0</v>
      </c>
    </row>
    <row r="603" spans="1:6" x14ac:dyDescent="0.35">
      <c r="A603" s="252" t="s">
        <v>3506</v>
      </c>
      <c r="B603" s="252" t="s">
        <v>1049</v>
      </c>
      <c r="C603" s="252" t="s">
        <v>1163</v>
      </c>
      <c r="D603" s="252" t="s">
        <v>1163</v>
      </c>
      <c r="E603" s="252">
        <v>2</v>
      </c>
      <c r="F603" s="252">
        <v>0</v>
      </c>
    </row>
    <row r="604" spans="1:6" x14ac:dyDescent="0.35">
      <c r="A604" s="252" t="s">
        <v>3506</v>
      </c>
      <c r="B604" s="252" t="s">
        <v>1021</v>
      </c>
      <c r="C604" s="252">
        <v>7218</v>
      </c>
      <c r="D604" s="252" t="s">
        <v>1190</v>
      </c>
      <c r="E604" s="252">
        <v>2</v>
      </c>
      <c r="F604" s="252">
        <v>0</v>
      </c>
    </row>
    <row r="605" spans="1:6" x14ac:dyDescent="0.35">
      <c r="A605" s="252" t="s">
        <v>3506</v>
      </c>
      <c r="B605" s="252" t="s">
        <v>1021</v>
      </c>
      <c r="C605" s="252" t="s">
        <v>1210</v>
      </c>
      <c r="D605" s="252" t="s">
        <v>1210</v>
      </c>
      <c r="E605" s="252">
        <v>2</v>
      </c>
      <c r="F605" s="252">
        <v>0</v>
      </c>
    </row>
    <row r="606" spans="1:6" x14ac:dyDescent="0.35">
      <c r="A606" s="252" t="s">
        <v>3506</v>
      </c>
      <c r="B606" s="252" t="s">
        <v>1021</v>
      </c>
      <c r="C606" s="252" t="s">
        <v>1129</v>
      </c>
      <c r="D606" s="252" t="s">
        <v>1129</v>
      </c>
      <c r="E606" s="252">
        <v>2</v>
      </c>
      <c r="F606" s="252">
        <v>0</v>
      </c>
    </row>
    <row r="607" spans="1:6" x14ac:dyDescent="0.35">
      <c r="A607" s="252" t="s">
        <v>3506</v>
      </c>
      <c r="B607" s="252" t="s">
        <v>1021</v>
      </c>
      <c r="C607" s="252" t="s">
        <v>1167</v>
      </c>
      <c r="D607" s="252" t="s">
        <v>1167</v>
      </c>
      <c r="E607" s="252">
        <v>2</v>
      </c>
      <c r="F607" s="252">
        <v>0</v>
      </c>
    </row>
    <row r="608" spans="1:6" x14ac:dyDescent="0.35">
      <c r="A608" s="252" t="s">
        <v>3506</v>
      </c>
      <c r="B608" s="252" t="s">
        <v>1079</v>
      </c>
      <c r="C608" s="252">
        <v>1401</v>
      </c>
      <c r="D608" s="252" t="s">
        <v>1163</v>
      </c>
      <c r="E608" s="252">
        <v>2</v>
      </c>
      <c r="F608" s="252">
        <v>0</v>
      </c>
    </row>
    <row r="609" spans="1:6" x14ac:dyDescent="0.35">
      <c r="A609" s="252" t="s">
        <v>3506</v>
      </c>
      <c r="B609" s="252" t="s">
        <v>1096</v>
      </c>
      <c r="C609" s="252" t="s">
        <v>1163</v>
      </c>
      <c r="D609" s="252" t="s">
        <v>1163</v>
      </c>
      <c r="E609" s="252">
        <v>2</v>
      </c>
      <c r="F609" s="252">
        <v>0</v>
      </c>
    </row>
    <row r="610" spans="1:6" x14ac:dyDescent="0.35">
      <c r="A610" s="252" t="s">
        <v>3506</v>
      </c>
      <c r="B610" s="252" t="s">
        <v>1102</v>
      </c>
      <c r="C610" s="252">
        <v>3158</v>
      </c>
      <c r="D610" s="252" t="s">
        <v>1130</v>
      </c>
      <c r="E610" s="252">
        <v>2</v>
      </c>
      <c r="F610" s="252">
        <v>0</v>
      </c>
    </row>
    <row r="611" spans="1:6" x14ac:dyDescent="0.35">
      <c r="A611" s="252" t="s">
        <v>3506</v>
      </c>
      <c r="B611" s="252" t="s">
        <v>3486</v>
      </c>
      <c r="C611" s="252" t="s">
        <v>1111</v>
      </c>
      <c r="D611" s="252" t="s">
        <v>1111</v>
      </c>
      <c r="E611" s="252">
        <v>2</v>
      </c>
      <c r="F611" s="252">
        <v>0</v>
      </c>
    </row>
    <row r="612" spans="1:6" x14ac:dyDescent="0.35">
      <c r="A612" s="252" t="s">
        <v>3506</v>
      </c>
      <c r="B612" s="252" t="s">
        <v>3488</v>
      </c>
      <c r="C612" s="252">
        <v>5762</v>
      </c>
      <c r="D612" s="252" t="s">
        <v>1125</v>
      </c>
      <c r="E612" s="252">
        <v>2</v>
      </c>
      <c r="F612" s="252">
        <v>0</v>
      </c>
    </row>
    <row r="613" spans="1:6" x14ac:dyDescent="0.35">
      <c r="A613" s="252" t="s">
        <v>3506</v>
      </c>
      <c r="B613" s="252" t="s">
        <v>1045</v>
      </c>
      <c r="C613" s="252" t="s">
        <v>1167</v>
      </c>
      <c r="D613" s="252" t="s">
        <v>1167</v>
      </c>
      <c r="E613" s="252">
        <v>2</v>
      </c>
      <c r="F613" s="252">
        <v>0</v>
      </c>
    </row>
    <row r="614" spans="1:6" x14ac:dyDescent="0.35">
      <c r="A614" s="252" t="s">
        <v>3506</v>
      </c>
      <c r="B614" s="252" t="s">
        <v>1037</v>
      </c>
      <c r="C614" s="252">
        <v>5762</v>
      </c>
      <c r="D614" s="252" t="s">
        <v>1125</v>
      </c>
      <c r="E614" s="252">
        <v>2</v>
      </c>
      <c r="F614" s="252">
        <v>0</v>
      </c>
    </row>
    <row r="615" spans="1:6" x14ac:dyDescent="0.35">
      <c r="A615" s="252" t="s">
        <v>3506</v>
      </c>
      <c r="B615" s="252" t="s">
        <v>996</v>
      </c>
      <c r="C615" s="252" t="s">
        <v>1172</v>
      </c>
      <c r="D615" s="252" t="s">
        <v>1172</v>
      </c>
      <c r="E615" s="252">
        <v>2</v>
      </c>
      <c r="F615" s="252">
        <v>0</v>
      </c>
    </row>
    <row r="616" spans="1:6" x14ac:dyDescent="0.35">
      <c r="A616" s="252" t="s">
        <v>3506</v>
      </c>
      <c r="B616" s="252" t="s">
        <v>1108</v>
      </c>
      <c r="C616" s="252" t="s">
        <v>1153</v>
      </c>
      <c r="D616" s="252" t="s">
        <v>1153</v>
      </c>
      <c r="E616" s="252">
        <v>2</v>
      </c>
      <c r="F616" s="252">
        <v>0</v>
      </c>
    </row>
    <row r="617" spans="1:6" x14ac:dyDescent="0.35">
      <c r="A617" s="252" t="s">
        <v>3506</v>
      </c>
      <c r="B617" s="252" t="s">
        <v>1081</v>
      </c>
      <c r="C617" s="252">
        <v>1406</v>
      </c>
      <c r="D617" s="252" t="s">
        <v>1115</v>
      </c>
      <c r="E617" s="252">
        <v>2</v>
      </c>
      <c r="F617" s="252">
        <v>0</v>
      </c>
    </row>
    <row r="618" spans="1:6" x14ac:dyDescent="0.35">
      <c r="A618" s="252" t="s">
        <v>3506</v>
      </c>
      <c r="B618" s="252" t="s">
        <v>1067</v>
      </c>
      <c r="C618" s="252">
        <v>2660</v>
      </c>
      <c r="D618" s="252" t="s">
        <v>1204</v>
      </c>
      <c r="E618" s="252">
        <v>2</v>
      </c>
      <c r="F618" s="252">
        <v>0</v>
      </c>
    </row>
    <row r="619" spans="1:6" x14ac:dyDescent="0.35">
      <c r="A619" s="252" t="s">
        <v>1222</v>
      </c>
      <c r="B619" s="252" t="s">
        <v>1022</v>
      </c>
      <c r="C619" s="252">
        <v>1709</v>
      </c>
      <c r="D619" s="252" t="s">
        <v>1167</v>
      </c>
      <c r="E619" s="252">
        <v>2</v>
      </c>
      <c r="F619" s="252">
        <v>0</v>
      </c>
    </row>
    <row r="620" spans="1:6" x14ac:dyDescent="0.35">
      <c r="A620" s="252" t="s">
        <v>1223</v>
      </c>
      <c r="B620" s="252" t="s">
        <v>1075</v>
      </c>
      <c r="C620" s="252">
        <v>2800</v>
      </c>
      <c r="D620" s="252" t="s">
        <v>1139</v>
      </c>
      <c r="E620" s="252">
        <v>2</v>
      </c>
      <c r="F620" s="252">
        <v>0</v>
      </c>
    </row>
    <row r="621" spans="1:6" x14ac:dyDescent="0.35">
      <c r="A621" s="252" t="s">
        <v>1223</v>
      </c>
      <c r="B621" s="252" t="s">
        <v>1047</v>
      </c>
      <c r="C621" s="252">
        <v>3220</v>
      </c>
      <c r="D621" s="252" t="s">
        <v>1183</v>
      </c>
      <c r="E621" s="252">
        <v>2</v>
      </c>
      <c r="F621" s="252">
        <v>0</v>
      </c>
    </row>
    <row r="622" spans="1:6" x14ac:dyDescent="0.35">
      <c r="A622" s="252" t="s">
        <v>1223</v>
      </c>
      <c r="B622" s="252" t="s">
        <v>1047</v>
      </c>
      <c r="C622" s="252">
        <v>1006</v>
      </c>
      <c r="D622" s="252" t="s">
        <v>1188</v>
      </c>
      <c r="E622" s="252">
        <v>2</v>
      </c>
      <c r="F622" s="252">
        <v>0</v>
      </c>
    </row>
    <row r="623" spans="1:6" x14ac:dyDescent="0.35">
      <c r="A623" s="252" t="s">
        <v>1223</v>
      </c>
      <c r="B623" s="252" t="s">
        <v>1047</v>
      </c>
      <c r="C623" s="252" t="s">
        <v>1147</v>
      </c>
      <c r="D623" s="252" t="s">
        <v>1147</v>
      </c>
      <c r="E623" s="252">
        <v>2</v>
      </c>
      <c r="F623" s="252">
        <v>0</v>
      </c>
    </row>
    <row r="624" spans="1:6" x14ac:dyDescent="0.35">
      <c r="A624" s="252" t="s">
        <v>1223</v>
      </c>
      <c r="B624" s="252" t="s">
        <v>1047</v>
      </c>
      <c r="C624" s="252">
        <v>5232000</v>
      </c>
      <c r="D624" s="252" t="s">
        <v>1188</v>
      </c>
      <c r="E624" s="252">
        <v>2</v>
      </c>
      <c r="F624" s="252">
        <v>0</v>
      </c>
    </row>
    <row r="625" spans="1:6" x14ac:dyDescent="0.35">
      <c r="A625" s="252" t="s">
        <v>965</v>
      </c>
      <c r="B625" s="252" t="s">
        <v>1058</v>
      </c>
      <c r="C625" s="252" t="s">
        <v>1119</v>
      </c>
      <c r="D625" s="252" t="s">
        <v>1119</v>
      </c>
      <c r="E625" s="252">
        <v>2</v>
      </c>
      <c r="F625" s="252">
        <v>0</v>
      </c>
    </row>
    <row r="626" spans="1:6" x14ac:dyDescent="0.35">
      <c r="A626" s="252" t="s">
        <v>965</v>
      </c>
      <c r="B626" s="252" t="s">
        <v>992</v>
      </c>
      <c r="C626" s="252" t="s">
        <v>1162</v>
      </c>
      <c r="D626" s="252" t="s">
        <v>1162</v>
      </c>
      <c r="E626" s="252">
        <v>2</v>
      </c>
      <c r="F626" s="252">
        <v>0</v>
      </c>
    </row>
    <row r="627" spans="1:6" x14ac:dyDescent="0.35">
      <c r="A627" s="252" t="s">
        <v>965</v>
      </c>
      <c r="B627" s="252" t="s">
        <v>992</v>
      </c>
      <c r="C627" s="252" t="s">
        <v>1210</v>
      </c>
      <c r="D627" s="252" t="s">
        <v>1163</v>
      </c>
      <c r="E627" s="252">
        <v>2</v>
      </c>
      <c r="F627" s="252">
        <v>0</v>
      </c>
    </row>
    <row r="628" spans="1:6" x14ac:dyDescent="0.35">
      <c r="A628" s="252" t="s">
        <v>965</v>
      </c>
      <c r="B628" s="252" t="s">
        <v>992</v>
      </c>
      <c r="C628" s="252" t="s">
        <v>1208</v>
      </c>
      <c r="D628" s="252" t="s">
        <v>1208</v>
      </c>
      <c r="E628" s="252">
        <v>2</v>
      </c>
      <c r="F628" s="252">
        <v>0</v>
      </c>
    </row>
    <row r="629" spans="1:6" x14ac:dyDescent="0.35">
      <c r="A629" s="252" t="s">
        <v>965</v>
      </c>
      <c r="B629" s="252" t="s">
        <v>992</v>
      </c>
      <c r="C629" s="252" t="s">
        <v>1152</v>
      </c>
      <c r="D629" s="252" t="s">
        <v>1152</v>
      </c>
      <c r="E629" s="252">
        <v>2</v>
      </c>
      <c r="F629" s="252">
        <v>0</v>
      </c>
    </row>
    <row r="630" spans="1:6" x14ac:dyDescent="0.35">
      <c r="A630" s="252" t="s">
        <v>965</v>
      </c>
      <c r="B630" s="252" t="s">
        <v>992</v>
      </c>
      <c r="C630" s="252">
        <v>4399104</v>
      </c>
      <c r="D630" s="252" t="s">
        <v>1174</v>
      </c>
      <c r="E630" s="252">
        <v>2</v>
      </c>
      <c r="F630" s="252">
        <v>0</v>
      </c>
    </row>
    <row r="631" spans="1:6" x14ac:dyDescent="0.35">
      <c r="A631" s="252" t="s">
        <v>965</v>
      </c>
      <c r="B631" s="252" t="s">
        <v>1014</v>
      </c>
      <c r="C631" s="252" t="s">
        <v>1163</v>
      </c>
      <c r="D631" s="252" t="s">
        <v>1163</v>
      </c>
      <c r="E631" s="252">
        <v>2</v>
      </c>
      <c r="F631" s="252">
        <v>0</v>
      </c>
    </row>
    <row r="632" spans="1:6" x14ac:dyDescent="0.35">
      <c r="A632" s="252" t="s">
        <v>965</v>
      </c>
      <c r="B632" s="252" t="s">
        <v>1014</v>
      </c>
      <c r="C632" s="252" t="s">
        <v>1164</v>
      </c>
      <c r="D632" s="252" t="s">
        <v>1164</v>
      </c>
      <c r="E632" s="252">
        <v>2</v>
      </c>
      <c r="F632" s="252">
        <v>0</v>
      </c>
    </row>
    <row r="633" spans="1:6" x14ac:dyDescent="0.35">
      <c r="A633" s="252" t="s">
        <v>1220</v>
      </c>
      <c r="B633" s="252" t="s">
        <v>1007</v>
      </c>
      <c r="C633" s="252" t="s">
        <v>1210</v>
      </c>
      <c r="D633" s="252" t="s">
        <v>1163</v>
      </c>
      <c r="E633" s="252">
        <v>2</v>
      </c>
      <c r="F633" s="252">
        <v>0</v>
      </c>
    </row>
    <row r="634" spans="1:6" x14ac:dyDescent="0.35">
      <c r="A634" s="252" t="s">
        <v>1220</v>
      </c>
      <c r="B634" s="252" t="s">
        <v>1007</v>
      </c>
      <c r="C634" s="252" t="s">
        <v>1167</v>
      </c>
      <c r="D634" s="252" t="s">
        <v>1167</v>
      </c>
      <c r="E634" s="252">
        <v>2</v>
      </c>
      <c r="F634" s="252">
        <v>0</v>
      </c>
    </row>
    <row r="635" spans="1:6" x14ac:dyDescent="0.35">
      <c r="A635" s="252" t="s">
        <v>1220</v>
      </c>
      <c r="B635" s="252" t="s">
        <v>1033</v>
      </c>
      <c r="C635" s="252">
        <v>1005</v>
      </c>
      <c r="D635" s="252" t="s">
        <v>1172</v>
      </c>
      <c r="E635" s="252">
        <v>2</v>
      </c>
      <c r="F635" s="252">
        <v>0</v>
      </c>
    </row>
    <row r="636" spans="1:6" x14ac:dyDescent="0.35">
      <c r="A636" s="252" t="s">
        <v>1220</v>
      </c>
      <c r="B636" s="252" t="s">
        <v>1016</v>
      </c>
      <c r="C636" s="252">
        <v>3220</v>
      </c>
      <c r="D636" s="252" t="s">
        <v>1183</v>
      </c>
      <c r="E636" s="252">
        <v>2</v>
      </c>
      <c r="F636" s="252">
        <v>0</v>
      </c>
    </row>
    <row r="637" spans="1:6" x14ac:dyDescent="0.35">
      <c r="A637" s="252" t="s">
        <v>964</v>
      </c>
      <c r="B637" s="252" t="s">
        <v>1006</v>
      </c>
      <c r="C637" s="252">
        <v>6491</v>
      </c>
      <c r="D637" s="252" t="s">
        <v>1189</v>
      </c>
      <c r="E637" s="252">
        <v>2</v>
      </c>
      <c r="F637" s="252">
        <v>0</v>
      </c>
    </row>
    <row r="638" spans="1:6" x14ac:dyDescent="0.35">
      <c r="A638" s="252" t="s">
        <v>964</v>
      </c>
      <c r="B638" s="252" t="s">
        <v>1006</v>
      </c>
      <c r="C638" s="252">
        <v>6940</v>
      </c>
      <c r="D638" s="252" t="s">
        <v>1118</v>
      </c>
      <c r="E638" s="252">
        <v>2</v>
      </c>
      <c r="F638" s="252">
        <v>0</v>
      </c>
    </row>
    <row r="639" spans="1:6" x14ac:dyDescent="0.35">
      <c r="A639" s="252" t="s">
        <v>964</v>
      </c>
      <c r="B639" s="252" t="s">
        <v>1006</v>
      </c>
      <c r="C639" s="252" t="s">
        <v>1181</v>
      </c>
      <c r="D639" s="252" t="s">
        <v>1181</v>
      </c>
      <c r="E639" s="252">
        <v>2</v>
      </c>
      <c r="F639" s="252">
        <v>0</v>
      </c>
    </row>
    <row r="640" spans="1:6" x14ac:dyDescent="0.35">
      <c r="A640" s="252" t="s">
        <v>964</v>
      </c>
      <c r="B640" s="252" t="s">
        <v>1006</v>
      </c>
      <c r="C640" s="252">
        <v>1402</v>
      </c>
      <c r="D640" s="252" t="s">
        <v>1129</v>
      </c>
      <c r="E640" s="252">
        <v>2</v>
      </c>
      <c r="F640" s="252">
        <v>0</v>
      </c>
    </row>
    <row r="641" spans="1:6" x14ac:dyDescent="0.35">
      <c r="A641" s="252" t="s">
        <v>964</v>
      </c>
      <c r="B641" s="252" t="s">
        <v>1006</v>
      </c>
      <c r="C641" s="252" t="s">
        <v>1137</v>
      </c>
      <c r="D641" s="252" t="s">
        <v>1137</v>
      </c>
      <c r="E641" s="252">
        <v>2</v>
      </c>
      <c r="F641" s="252">
        <v>0</v>
      </c>
    </row>
    <row r="642" spans="1:6" x14ac:dyDescent="0.35">
      <c r="A642" s="252" t="s">
        <v>964</v>
      </c>
      <c r="B642" s="252" t="s">
        <v>1061</v>
      </c>
      <c r="C642" s="252" t="s">
        <v>1211</v>
      </c>
      <c r="D642" s="252" t="s">
        <v>1211</v>
      </c>
      <c r="E642" s="252">
        <v>2</v>
      </c>
      <c r="F642" s="252">
        <v>0</v>
      </c>
    </row>
    <row r="643" spans="1:6" x14ac:dyDescent="0.35">
      <c r="A643" s="252" t="s">
        <v>964</v>
      </c>
      <c r="B643" s="252" t="s">
        <v>1061</v>
      </c>
      <c r="C643" s="252" t="s">
        <v>1195</v>
      </c>
      <c r="D643" s="252" t="s">
        <v>1195</v>
      </c>
      <c r="E643" s="252">
        <v>2</v>
      </c>
      <c r="F643" s="252">
        <v>0</v>
      </c>
    </row>
    <row r="644" spans="1:6" x14ac:dyDescent="0.35">
      <c r="A644" s="252" t="s">
        <v>964</v>
      </c>
      <c r="B644" s="252" t="s">
        <v>1015</v>
      </c>
      <c r="C644" s="252" t="s">
        <v>1115</v>
      </c>
      <c r="D644" s="252" t="s">
        <v>1115</v>
      </c>
      <c r="E644" s="252">
        <v>2</v>
      </c>
      <c r="F644" s="252">
        <v>0</v>
      </c>
    </row>
    <row r="645" spans="1:6" x14ac:dyDescent="0.35">
      <c r="A645" s="252" t="s">
        <v>964</v>
      </c>
      <c r="B645" s="252" t="s">
        <v>1028</v>
      </c>
      <c r="C645" s="252">
        <v>1401</v>
      </c>
      <c r="D645" s="252" t="s">
        <v>1163</v>
      </c>
      <c r="E645" s="252">
        <v>2</v>
      </c>
      <c r="F645" s="252">
        <v>0</v>
      </c>
    </row>
    <row r="646" spans="1:6" x14ac:dyDescent="0.35">
      <c r="A646" s="252" t="s">
        <v>964</v>
      </c>
      <c r="B646" s="252" t="s">
        <v>1028</v>
      </c>
      <c r="C646" s="252" t="s">
        <v>1150</v>
      </c>
      <c r="D646" s="252" t="s">
        <v>1150</v>
      </c>
      <c r="E646" s="252">
        <v>2</v>
      </c>
      <c r="F646" s="252">
        <v>0</v>
      </c>
    </row>
    <row r="647" spans="1:6" x14ac:dyDescent="0.35">
      <c r="A647" s="252" t="s">
        <v>964</v>
      </c>
      <c r="B647" s="252" t="s">
        <v>1034</v>
      </c>
      <c r="C647" s="252" t="s">
        <v>1125</v>
      </c>
      <c r="D647" s="252" t="s">
        <v>1125</v>
      </c>
      <c r="E647" s="252">
        <v>2</v>
      </c>
      <c r="F647" s="252">
        <v>0</v>
      </c>
    </row>
    <row r="648" spans="1:6" x14ac:dyDescent="0.35">
      <c r="A648" s="252" t="s">
        <v>964</v>
      </c>
      <c r="B648" s="252" t="s">
        <v>973</v>
      </c>
      <c r="C648" s="252">
        <v>1406</v>
      </c>
      <c r="D648" s="252" t="s">
        <v>1115</v>
      </c>
      <c r="E648" s="252">
        <v>2</v>
      </c>
      <c r="F648" s="252">
        <v>0</v>
      </c>
    </row>
    <row r="649" spans="1:6" x14ac:dyDescent="0.35">
      <c r="A649" s="252" t="s">
        <v>964</v>
      </c>
      <c r="B649" s="252" t="s">
        <v>973</v>
      </c>
      <c r="C649" s="252">
        <v>709</v>
      </c>
      <c r="D649" s="252" t="s">
        <v>1175</v>
      </c>
      <c r="E649" s="252">
        <v>2</v>
      </c>
      <c r="F649" s="252">
        <v>0</v>
      </c>
    </row>
    <row r="650" spans="1:6" x14ac:dyDescent="0.35">
      <c r="A650" s="252" t="s">
        <v>964</v>
      </c>
      <c r="B650" s="252" t="s">
        <v>1039</v>
      </c>
      <c r="C650" s="252">
        <v>5762</v>
      </c>
      <c r="D650" s="252" t="s">
        <v>1125</v>
      </c>
      <c r="E650" s="252">
        <v>2</v>
      </c>
      <c r="F650" s="252">
        <v>0</v>
      </c>
    </row>
    <row r="651" spans="1:6" x14ac:dyDescent="0.35">
      <c r="A651" s="252" t="s">
        <v>964</v>
      </c>
      <c r="B651" s="252" t="s">
        <v>1085</v>
      </c>
      <c r="C651" s="252" t="s">
        <v>1124</v>
      </c>
      <c r="D651" s="252" t="s">
        <v>1124</v>
      </c>
      <c r="E651" s="252">
        <v>2</v>
      </c>
      <c r="F651" s="252">
        <v>0</v>
      </c>
    </row>
    <row r="652" spans="1:6" x14ac:dyDescent="0.35">
      <c r="A652" s="252" t="s">
        <v>964</v>
      </c>
      <c r="B652" s="252" t="s">
        <v>1089</v>
      </c>
      <c r="C652" s="252" t="s">
        <v>1133</v>
      </c>
      <c r="D652" s="252" t="s">
        <v>1133</v>
      </c>
      <c r="E652" s="252">
        <v>2</v>
      </c>
      <c r="F652" s="252">
        <v>0</v>
      </c>
    </row>
    <row r="653" spans="1:6" x14ac:dyDescent="0.35">
      <c r="A653" s="252" t="s">
        <v>964</v>
      </c>
      <c r="B653" s="252" t="s">
        <v>994</v>
      </c>
      <c r="C653" s="252" t="s">
        <v>1192</v>
      </c>
      <c r="D653" s="252" t="s">
        <v>1192</v>
      </c>
      <c r="E653" s="252">
        <v>2</v>
      </c>
      <c r="F653" s="252">
        <v>0</v>
      </c>
    </row>
    <row r="654" spans="1:6" x14ac:dyDescent="0.35">
      <c r="A654" s="252" t="s">
        <v>964</v>
      </c>
      <c r="B654" s="252" t="s">
        <v>1056</v>
      </c>
      <c r="C654" s="252" t="s">
        <v>1210</v>
      </c>
      <c r="D654" s="252" t="s">
        <v>1163</v>
      </c>
      <c r="E654" s="252">
        <v>2</v>
      </c>
      <c r="F654" s="252">
        <v>0</v>
      </c>
    </row>
    <row r="655" spans="1:6" x14ac:dyDescent="0.35">
      <c r="A655" s="252" t="s">
        <v>964</v>
      </c>
      <c r="B655" s="252" t="s">
        <v>989</v>
      </c>
      <c r="C655" s="252" t="s">
        <v>1163</v>
      </c>
      <c r="D655" s="252" t="s">
        <v>1163</v>
      </c>
      <c r="E655" s="252">
        <v>2</v>
      </c>
      <c r="F655" s="252">
        <v>0</v>
      </c>
    </row>
    <row r="656" spans="1:6" x14ac:dyDescent="0.35">
      <c r="A656" s="252" t="s">
        <v>964</v>
      </c>
      <c r="B656" s="252" t="s">
        <v>989</v>
      </c>
      <c r="C656" s="252" t="s">
        <v>1210</v>
      </c>
      <c r="D656" s="252" t="s">
        <v>1163</v>
      </c>
      <c r="E656" s="252">
        <v>2</v>
      </c>
      <c r="F656" s="252">
        <v>0</v>
      </c>
    </row>
    <row r="657" spans="1:6" x14ac:dyDescent="0.35">
      <c r="A657" s="252" t="s">
        <v>964</v>
      </c>
      <c r="B657" s="252" t="s">
        <v>1051</v>
      </c>
      <c r="C657" s="252" t="s">
        <v>1115</v>
      </c>
      <c r="D657" s="252" t="s">
        <v>1115</v>
      </c>
      <c r="E657" s="252">
        <v>2</v>
      </c>
      <c r="F657" s="252">
        <v>0</v>
      </c>
    </row>
    <row r="658" spans="1:6" x14ac:dyDescent="0.35">
      <c r="A658" s="252" t="s">
        <v>964</v>
      </c>
      <c r="B658" s="252" t="s">
        <v>1019</v>
      </c>
      <c r="C658" s="252" t="s">
        <v>1125</v>
      </c>
      <c r="D658" s="252" t="s">
        <v>1125</v>
      </c>
      <c r="E658" s="252">
        <v>2</v>
      </c>
      <c r="F658" s="252">
        <v>0</v>
      </c>
    </row>
    <row r="659" spans="1:6" x14ac:dyDescent="0.35">
      <c r="A659" s="252" t="s">
        <v>964</v>
      </c>
      <c r="B659" s="252" t="s">
        <v>985</v>
      </c>
      <c r="C659" s="252">
        <v>5762</v>
      </c>
      <c r="D659" s="252" t="s">
        <v>1125</v>
      </c>
      <c r="E659" s="252">
        <v>2</v>
      </c>
      <c r="F659" s="252">
        <v>0</v>
      </c>
    </row>
    <row r="660" spans="1:6" x14ac:dyDescent="0.35">
      <c r="A660" s="252" t="s">
        <v>964</v>
      </c>
      <c r="B660" s="252" t="s">
        <v>985</v>
      </c>
      <c r="C660" s="252" t="s">
        <v>1167</v>
      </c>
      <c r="D660" s="252" t="s">
        <v>1167</v>
      </c>
      <c r="E660" s="252">
        <v>2</v>
      </c>
      <c r="F660" s="252">
        <v>0</v>
      </c>
    </row>
    <row r="661" spans="1:6" x14ac:dyDescent="0.35">
      <c r="A661" s="252" t="s">
        <v>964</v>
      </c>
      <c r="B661" s="252" t="s">
        <v>1011</v>
      </c>
      <c r="C661" s="252">
        <v>5762</v>
      </c>
      <c r="D661" s="252" t="s">
        <v>1125</v>
      </c>
      <c r="E661" s="252">
        <v>2</v>
      </c>
      <c r="F661" s="252">
        <v>0</v>
      </c>
    </row>
    <row r="662" spans="1:6" x14ac:dyDescent="0.35">
      <c r="A662" s="252" t="s">
        <v>964</v>
      </c>
      <c r="B662" s="252" t="s">
        <v>1002</v>
      </c>
      <c r="C662" s="252">
        <v>1406</v>
      </c>
      <c r="D662" s="252" t="s">
        <v>1115</v>
      </c>
      <c r="E662" s="252">
        <v>2</v>
      </c>
      <c r="F662" s="252">
        <v>0</v>
      </c>
    </row>
    <row r="663" spans="1:6" x14ac:dyDescent="0.35">
      <c r="A663" s="252" t="s">
        <v>964</v>
      </c>
      <c r="B663" s="252" t="s">
        <v>1002</v>
      </c>
      <c r="C663" s="252" t="s">
        <v>1202</v>
      </c>
      <c r="D663" s="252" t="s">
        <v>1202</v>
      </c>
      <c r="E663" s="252">
        <v>2</v>
      </c>
      <c r="F663" s="252">
        <v>0</v>
      </c>
    </row>
    <row r="664" spans="1:6" x14ac:dyDescent="0.35">
      <c r="A664" s="252" t="s">
        <v>964</v>
      </c>
      <c r="B664" s="252" t="s">
        <v>1002</v>
      </c>
      <c r="C664" s="252" t="s">
        <v>1119</v>
      </c>
      <c r="D664" s="252" t="s">
        <v>1119</v>
      </c>
      <c r="E664" s="252">
        <v>2</v>
      </c>
      <c r="F664" s="252">
        <v>0</v>
      </c>
    </row>
    <row r="665" spans="1:6" x14ac:dyDescent="0.35">
      <c r="A665" s="252" t="s">
        <v>964</v>
      </c>
      <c r="B665" s="252" t="s">
        <v>1008</v>
      </c>
      <c r="C665" s="252">
        <v>3158</v>
      </c>
      <c r="D665" s="252" t="s">
        <v>1130</v>
      </c>
      <c r="E665" s="252">
        <v>2</v>
      </c>
      <c r="F665" s="252">
        <v>0</v>
      </c>
    </row>
    <row r="666" spans="1:6" x14ac:dyDescent="0.35">
      <c r="A666" s="252" t="s">
        <v>964</v>
      </c>
      <c r="B666" s="252" t="s">
        <v>1008</v>
      </c>
      <c r="C666" s="252" t="s">
        <v>1215</v>
      </c>
      <c r="D666" s="252" t="s">
        <v>1215</v>
      </c>
      <c r="E666" s="252">
        <v>2</v>
      </c>
      <c r="F666" s="252">
        <v>0</v>
      </c>
    </row>
    <row r="667" spans="1:6" x14ac:dyDescent="0.35">
      <c r="A667" s="252" t="s">
        <v>964</v>
      </c>
      <c r="B667" s="252" t="s">
        <v>1009</v>
      </c>
      <c r="C667" s="252">
        <v>7315</v>
      </c>
      <c r="D667" s="252" t="s">
        <v>1115</v>
      </c>
      <c r="E667" s="252">
        <v>2</v>
      </c>
      <c r="F667" s="252">
        <v>0</v>
      </c>
    </row>
    <row r="668" spans="1:6" x14ac:dyDescent="0.35">
      <c r="A668" s="252" t="s">
        <v>964</v>
      </c>
      <c r="B668" s="252" t="s">
        <v>1009</v>
      </c>
      <c r="C668" s="252" t="s">
        <v>3504</v>
      </c>
      <c r="D668" s="252" t="s">
        <v>1200</v>
      </c>
      <c r="E668" s="252">
        <v>2</v>
      </c>
      <c r="F668" s="252">
        <v>0</v>
      </c>
    </row>
    <row r="669" spans="1:6" x14ac:dyDescent="0.35">
      <c r="A669" s="252" t="s">
        <v>964</v>
      </c>
      <c r="B669" s="252" t="s">
        <v>1009</v>
      </c>
      <c r="C669" s="252" t="s">
        <v>1203</v>
      </c>
      <c r="D669" s="252" t="s">
        <v>1203</v>
      </c>
      <c r="E669" s="252">
        <v>2</v>
      </c>
      <c r="F669" s="252">
        <v>0</v>
      </c>
    </row>
    <row r="670" spans="1:6" x14ac:dyDescent="0.35">
      <c r="A670" s="252" t="s">
        <v>964</v>
      </c>
      <c r="B670" s="252" t="s">
        <v>1009</v>
      </c>
      <c r="C670" s="252" t="s">
        <v>1112</v>
      </c>
      <c r="D670" s="252" t="s">
        <v>1112</v>
      </c>
      <c r="E670" s="252">
        <v>2</v>
      </c>
      <c r="F670" s="252">
        <v>0</v>
      </c>
    </row>
    <row r="671" spans="1:6" x14ac:dyDescent="0.35">
      <c r="A671" s="252" t="s">
        <v>964</v>
      </c>
      <c r="B671" s="252" t="s">
        <v>1009</v>
      </c>
      <c r="C671" s="252" t="s">
        <v>1132</v>
      </c>
      <c r="D671" s="252" t="s">
        <v>1132</v>
      </c>
      <c r="E671" s="252">
        <v>2</v>
      </c>
      <c r="F671" s="252">
        <v>0</v>
      </c>
    </row>
    <row r="672" spans="1:6" x14ac:dyDescent="0.35">
      <c r="A672" s="252" t="s">
        <v>964</v>
      </c>
      <c r="B672" s="252" t="s">
        <v>1065</v>
      </c>
      <c r="C672" s="252" t="s">
        <v>1137</v>
      </c>
      <c r="D672" s="252" t="s">
        <v>1137</v>
      </c>
      <c r="E672" s="252">
        <v>2</v>
      </c>
      <c r="F672" s="252">
        <v>0</v>
      </c>
    </row>
    <row r="673" spans="1:6" x14ac:dyDescent="0.35">
      <c r="A673" s="252" t="s">
        <v>964</v>
      </c>
      <c r="B673" s="252" t="s">
        <v>1035</v>
      </c>
      <c r="C673" s="252" t="s">
        <v>1167</v>
      </c>
      <c r="D673" s="252" t="s">
        <v>1167</v>
      </c>
      <c r="E673" s="252">
        <v>2</v>
      </c>
      <c r="F673" s="252">
        <v>0</v>
      </c>
    </row>
    <row r="674" spans="1:6" x14ac:dyDescent="0.35">
      <c r="A674" s="252" t="s">
        <v>964</v>
      </c>
      <c r="B674" s="252" t="s">
        <v>1035</v>
      </c>
      <c r="C674" s="252" t="s">
        <v>3505</v>
      </c>
      <c r="D674" s="252" t="s">
        <v>3505</v>
      </c>
      <c r="E674" s="252">
        <v>2</v>
      </c>
      <c r="F674" s="252">
        <v>0</v>
      </c>
    </row>
    <row r="675" spans="1:6" x14ac:dyDescent="0.35">
      <c r="A675" s="252" t="s">
        <v>964</v>
      </c>
      <c r="B675" s="252" t="s">
        <v>1035</v>
      </c>
      <c r="C675" s="252">
        <v>702</v>
      </c>
      <c r="D675" s="252" t="s">
        <v>1215</v>
      </c>
      <c r="E675" s="252">
        <v>2</v>
      </c>
      <c r="F675" s="252">
        <v>0</v>
      </c>
    </row>
    <row r="676" spans="1:6" x14ac:dyDescent="0.35">
      <c r="A676" s="252" t="s">
        <v>964</v>
      </c>
      <c r="B676" s="252" t="s">
        <v>1035</v>
      </c>
      <c r="C676" s="252">
        <v>710</v>
      </c>
      <c r="D676" s="252" t="s">
        <v>3505</v>
      </c>
      <c r="E676" s="252">
        <v>2</v>
      </c>
      <c r="F676" s="252">
        <v>0</v>
      </c>
    </row>
    <row r="677" spans="1:6" x14ac:dyDescent="0.35">
      <c r="A677" s="252" t="s">
        <v>964</v>
      </c>
      <c r="B677" s="252" t="s">
        <v>1035</v>
      </c>
      <c r="C677" s="252">
        <v>713</v>
      </c>
      <c r="D677" s="252" t="s">
        <v>1159</v>
      </c>
      <c r="E677" s="252">
        <v>2</v>
      </c>
      <c r="F677" s="252">
        <v>0</v>
      </c>
    </row>
    <row r="678" spans="1:6" x14ac:dyDescent="0.35">
      <c r="A678" s="252" t="s">
        <v>963</v>
      </c>
      <c r="B678" s="252" t="s">
        <v>995</v>
      </c>
      <c r="C678" s="252" t="s">
        <v>1210</v>
      </c>
      <c r="D678" s="252" t="s">
        <v>1163</v>
      </c>
      <c r="E678" s="252">
        <v>1</v>
      </c>
      <c r="F678" s="252">
        <v>0</v>
      </c>
    </row>
    <row r="679" spans="1:6" x14ac:dyDescent="0.35">
      <c r="A679" s="252" t="s">
        <v>963</v>
      </c>
      <c r="B679" s="252" t="s">
        <v>995</v>
      </c>
      <c r="C679" s="252" t="s">
        <v>1123</v>
      </c>
      <c r="D679" s="252" t="s">
        <v>1123</v>
      </c>
      <c r="E679" s="252">
        <v>1</v>
      </c>
      <c r="F679" s="252">
        <v>0</v>
      </c>
    </row>
    <row r="680" spans="1:6" x14ac:dyDescent="0.35">
      <c r="A680" s="252" t="s">
        <v>963</v>
      </c>
      <c r="B680" s="252" t="s">
        <v>995</v>
      </c>
      <c r="C680" s="252" t="s">
        <v>1159</v>
      </c>
      <c r="D680" s="252" t="s">
        <v>1159</v>
      </c>
      <c r="E680" s="252">
        <v>1</v>
      </c>
      <c r="F680" s="252">
        <v>0</v>
      </c>
    </row>
    <row r="681" spans="1:6" x14ac:dyDescent="0.35">
      <c r="A681" s="252" t="s">
        <v>963</v>
      </c>
      <c r="B681" s="252" t="s">
        <v>995</v>
      </c>
      <c r="C681" s="252" t="s">
        <v>1136</v>
      </c>
      <c r="D681" s="252" t="s">
        <v>1136</v>
      </c>
      <c r="E681" s="252">
        <v>1</v>
      </c>
      <c r="F681" s="252">
        <v>0</v>
      </c>
    </row>
    <row r="682" spans="1:6" x14ac:dyDescent="0.35">
      <c r="A682" s="252" t="s">
        <v>963</v>
      </c>
      <c r="B682" s="252" t="s">
        <v>1070</v>
      </c>
      <c r="C682" s="252" t="s">
        <v>1195</v>
      </c>
      <c r="D682" s="252" t="s">
        <v>1195</v>
      </c>
      <c r="E682" s="252">
        <v>1</v>
      </c>
      <c r="F682" s="252">
        <v>0</v>
      </c>
    </row>
    <row r="683" spans="1:6" x14ac:dyDescent="0.35">
      <c r="A683" s="252" t="s">
        <v>963</v>
      </c>
      <c r="B683" s="252" t="s">
        <v>1050</v>
      </c>
      <c r="C683" s="252">
        <v>3085</v>
      </c>
      <c r="D683" s="252" t="s">
        <v>1211</v>
      </c>
      <c r="E683" s="252">
        <v>1</v>
      </c>
      <c r="F683" s="252">
        <v>0</v>
      </c>
    </row>
    <row r="684" spans="1:6" x14ac:dyDescent="0.35">
      <c r="A684" s="252" t="s">
        <v>963</v>
      </c>
      <c r="B684" s="252" t="s">
        <v>1020</v>
      </c>
      <c r="C684" s="252" t="s">
        <v>1208</v>
      </c>
      <c r="D684" s="252" t="s">
        <v>1208</v>
      </c>
      <c r="E684" s="252">
        <v>1</v>
      </c>
      <c r="F684" s="252">
        <v>0</v>
      </c>
    </row>
    <row r="685" spans="1:6" x14ac:dyDescent="0.35">
      <c r="A685" s="252" t="s">
        <v>963</v>
      </c>
      <c r="B685" s="252" t="s">
        <v>1020</v>
      </c>
      <c r="C685" s="252" t="s">
        <v>1157</v>
      </c>
      <c r="D685" s="252" t="s">
        <v>1157</v>
      </c>
      <c r="E685" s="252">
        <v>1</v>
      </c>
      <c r="F685" s="252">
        <v>0</v>
      </c>
    </row>
    <row r="686" spans="1:6" x14ac:dyDescent="0.35">
      <c r="A686" s="252" t="s">
        <v>963</v>
      </c>
      <c r="B686" s="252" t="s">
        <v>1020</v>
      </c>
      <c r="C686" s="252" t="s">
        <v>1183</v>
      </c>
      <c r="D686" s="252" t="s">
        <v>1183</v>
      </c>
      <c r="E686" s="252">
        <v>1</v>
      </c>
      <c r="F686" s="252">
        <v>0</v>
      </c>
    </row>
    <row r="687" spans="1:6" x14ac:dyDescent="0.35">
      <c r="A687" s="252" t="s">
        <v>963</v>
      </c>
      <c r="B687" s="252" t="s">
        <v>1020</v>
      </c>
      <c r="C687" s="252" t="s">
        <v>3510</v>
      </c>
      <c r="D687" s="252" t="s">
        <v>3510</v>
      </c>
      <c r="E687" s="252">
        <v>1</v>
      </c>
      <c r="F687" s="252">
        <v>0</v>
      </c>
    </row>
    <row r="688" spans="1:6" x14ac:dyDescent="0.35">
      <c r="A688" s="252" t="s">
        <v>963</v>
      </c>
      <c r="B688" s="252" t="s">
        <v>1020</v>
      </c>
      <c r="C688" s="252" t="s">
        <v>1175</v>
      </c>
      <c r="D688" s="252" t="s">
        <v>1175</v>
      </c>
      <c r="E688" s="252">
        <v>1</v>
      </c>
      <c r="F688" s="252">
        <v>0</v>
      </c>
    </row>
    <row r="689" spans="1:6" x14ac:dyDescent="0.35">
      <c r="A689" s="252" t="s">
        <v>963</v>
      </c>
      <c r="B689" s="252" t="s">
        <v>1003</v>
      </c>
      <c r="C689" s="252">
        <v>7161</v>
      </c>
      <c r="D689" s="252" t="s">
        <v>3508</v>
      </c>
      <c r="E689" s="252">
        <v>1</v>
      </c>
      <c r="F689" s="252">
        <v>0</v>
      </c>
    </row>
    <row r="690" spans="1:6" x14ac:dyDescent="0.35">
      <c r="A690" s="252" t="s">
        <v>963</v>
      </c>
      <c r="B690" s="252" t="s">
        <v>1003</v>
      </c>
      <c r="C690" s="252">
        <v>8176</v>
      </c>
      <c r="D690" s="252" t="s">
        <v>1170</v>
      </c>
      <c r="E690" s="252">
        <v>1</v>
      </c>
      <c r="F690" s="252">
        <v>0</v>
      </c>
    </row>
    <row r="691" spans="1:6" x14ac:dyDescent="0.35">
      <c r="A691" s="252" t="s">
        <v>963</v>
      </c>
      <c r="B691" s="252" t="s">
        <v>1003</v>
      </c>
      <c r="C691" s="252" t="s">
        <v>1204</v>
      </c>
      <c r="D691" s="252" t="s">
        <v>1204</v>
      </c>
      <c r="E691" s="252">
        <v>1</v>
      </c>
      <c r="F691" s="252">
        <v>0</v>
      </c>
    </row>
    <row r="692" spans="1:6" x14ac:dyDescent="0.35">
      <c r="A692" s="252" t="s">
        <v>963</v>
      </c>
      <c r="B692" s="252" t="s">
        <v>1003</v>
      </c>
      <c r="C692" s="252" t="s">
        <v>1114</v>
      </c>
      <c r="D692" s="252" t="s">
        <v>1114</v>
      </c>
      <c r="E692" s="252">
        <v>1</v>
      </c>
      <c r="F692" s="252">
        <v>0</v>
      </c>
    </row>
    <row r="693" spans="1:6" x14ac:dyDescent="0.35">
      <c r="A693" s="252" t="s">
        <v>963</v>
      </c>
      <c r="B693" s="252" t="s">
        <v>1003</v>
      </c>
      <c r="C693" s="252" t="s">
        <v>1172</v>
      </c>
      <c r="D693" s="252" t="s">
        <v>1172</v>
      </c>
      <c r="E693" s="252">
        <v>1</v>
      </c>
      <c r="F693" s="252">
        <v>0</v>
      </c>
    </row>
    <row r="694" spans="1:6" x14ac:dyDescent="0.35">
      <c r="A694" s="252" t="s">
        <v>963</v>
      </c>
      <c r="B694" s="252" t="s">
        <v>1003</v>
      </c>
      <c r="C694" s="252" t="s">
        <v>1113</v>
      </c>
      <c r="D694" s="252" t="s">
        <v>1113</v>
      </c>
      <c r="E694" s="252">
        <v>1</v>
      </c>
      <c r="F694" s="252">
        <v>0</v>
      </c>
    </row>
    <row r="695" spans="1:6" x14ac:dyDescent="0.35">
      <c r="A695" s="252" t="s">
        <v>963</v>
      </c>
      <c r="B695" s="252" t="s">
        <v>1003</v>
      </c>
      <c r="C695" s="252">
        <v>1602</v>
      </c>
      <c r="D695" s="252" t="s">
        <v>1144</v>
      </c>
      <c r="E695" s="252">
        <v>1</v>
      </c>
      <c r="F695" s="252">
        <v>0</v>
      </c>
    </row>
    <row r="696" spans="1:6" x14ac:dyDescent="0.35">
      <c r="A696" s="252" t="s">
        <v>963</v>
      </c>
      <c r="B696" s="252" t="s">
        <v>1003</v>
      </c>
      <c r="C696" s="252">
        <v>2001</v>
      </c>
      <c r="D696" s="252" t="s">
        <v>1111</v>
      </c>
      <c r="E696" s="252">
        <v>1</v>
      </c>
      <c r="F696" s="252">
        <v>0</v>
      </c>
    </row>
    <row r="697" spans="1:6" x14ac:dyDescent="0.35">
      <c r="A697" s="252" t="s">
        <v>963</v>
      </c>
      <c r="B697" s="252" t="s">
        <v>1003</v>
      </c>
      <c r="C697" s="252" t="s">
        <v>1165</v>
      </c>
      <c r="D697" s="252" t="s">
        <v>1165</v>
      </c>
      <c r="E697" s="252">
        <v>1</v>
      </c>
      <c r="F697" s="252">
        <v>0</v>
      </c>
    </row>
    <row r="698" spans="1:6" x14ac:dyDescent="0.35">
      <c r="A698" s="252" t="s">
        <v>963</v>
      </c>
      <c r="B698" s="252" t="s">
        <v>997</v>
      </c>
      <c r="C698" s="252" t="s">
        <v>1110</v>
      </c>
      <c r="D698" s="252" t="s">
        <v>1110</v>
      </c>
      <c r="E698" s="252">
        <v>1</v>
      </c>
      <c r="F698" s="252">
        <v>0</v>
      </c>
    </row>
    <row r="699" spans="1:6" x14ac:dyDescent="0.35">
      <c r="A699" s="252" t="s">
        <v>963</v>
      </c>
      <c r="B699" s="252" t="s">
        <v>997</v>
      </c>
      <c r="C699" s="252">
        <v>710</v>
      </c>
      <c r="D699" s="252" t="s">
        <v>3505</v>
      </c>
      <c r="E699" s="252">
        <v>1</v>
      </c>
      <c r="F699" s="252">
        <v>0</v>
      </c>
    </row>
    <row r="700" spans="1:6" x14ac:dyDescent="0.35">
      <c r="A700" s="252" t="s">
        <v>1221</v>
      </c>
      <c r="B700" s="252" t="s">
        <v>1012</v>
      </c>
      <c r="C700" s="252">
        <v>2800</v>
      </c>
      <c r="D700" s="252" t="s">
        <v>1139</v>
      </c>
      <c r="E700" s="252">
        <v>1</v>
      </c>
      <c r="F700" s="252">
        <v>0</v>
      </c>
    </row>
    <row r="701" spans="1:6" x14ac:dyDescent="0.35">
      <c r="A701" s="252" t="s">
        <v>1221</v>
      </c>
      <c r="B701" s="252" t="s">
        <v>1012</v>
      </c>
      <c r="C701" s="252">
        <v>3220</v>
      </c>
      <c r="D701" s="252" t="s">
        <v>1183</v>
      </c>
      <c r="E701" s="252">
        <v>1</v>
      </c>
      <c r="F701" s="252">
        <v>0</v>
      </c>
    </row>
    <row r="702" spans="1:6" x14ac:dyDescent="0.35">
      <c r="A702" s="252" t="s">
        <v>1221</v>
      </c>
      <c r="B702" s="252" t="s">
        <v>1012</v>
      </c>
      <c r="C702" s="252" t="s">
        <v>1170</v>
      </c>
      <c r="D702" s="252" t="s">
        <v>1170</v>
      </c>
      <c r="E702" s="252">
        <v>1</v>
      </c>
      <c r="F702" s="252">
        <v>0</v>
      </c>
    </row>
    <row r="703" spans="1:6" x14ac:dyDescent="0.35">
      <c r="A703" s="252" t="s">
        <v>1221</v>
      </c>
      <c r="B703" s="252" t="s">
        <v>1012</v>
      </c>
      <c r="C703" s="252" t="s">
        <v>1174</v>
      </c>
      <c r="D703" s="252" t="s">
        <v>1174</v>
      </c>
      <c r="E703" s="252">
        <v>1</v>
      </c>
      <c r="F703" s="252">
        <v>0</v>
      </c>
    </row>
    <row r="704" spans="1:6" x14ac:dyDescent="0.35">
      <c r="A704" s="252" t="s">
        <v>1225</v>
      </c>
      <c r="B704" s="252" t="s">
        <v>1063</v>
      </c>
      <c r="C704" s="252">
        <v>3085</v>
      </c>
      <c r="D704" s="252" t="s">
        <v>1211</v>
      </c>
      <c r="E704" s="252">
        <v>1</v>
      </c>
      <c r="F704" s="252">
        <v>0</v>
      </c>
    </row>
    <row r="705" spans="1:6" x14ac:dyDescent="0.35">
      <c r="A705" s="252" t="s">
        <v>1225</v>
      </c>
      <c r="B705" s="252" t="s">
        <v>1063</v>
      </c>
      <c r="C705" s="252" t="s">
        <v>1167</v>
      </c>
      <c r="D705" s="252" t="s">
        <v>1167</v>
      </c>
      <c r="E705" s="252">
        <v>1</v>
      </c>
      <c r="F705" s="252">
        <v>0</v>
      </c>
    </row>
    <row r="706" spans="1:6" x14ac:dyDescent="0.35">
      <c r="A706" s="252" t="s">
        <v>1224</v>
      </c>
      <c r="B706" s="252" t="s">
        <v>1069</v>
      </c>
      <c r="C706" s="252">
        <v>2684</v>
      </c>
      <c r="D706" s="252" t="s">
        <v>1114</v>
      </c>
      <c r="E706" s="252">
        <v>1</v>
      </c>
      <c r="F706" s="252">
        <v>0</v>
      </c>
    </row>
    <row r="707" spans="1:6" x14ac:dyDescent="0.35">
      <c r="A707" s="252" t="s">
        <v>1224</v>
      </c>
      <c r="B707" s="252" t="s">
        <v>1069</v>
      </c>
      <c r="C707" s="252">
        <v>3654</v>
      </c>
      <c r="D707" s="252" t="s">
        <v>3510</v>
      </c>
      <c r="E707" s="252">
        <v>1</v>
      </c>
      <c r="F707" s="252">
        <v>0</v>
      </c>
    </row>
    <row r="708" spans="1:6" x14ac:dyDescent="0.35">
      <c r="A708" s="252" t="s">
        <v>1224</v>
      </c>
      <c r="B708" s="252" t="s">
        <v>1069</v>
      </c>
      <c r="C708" s="252" t="s">
        <v>3510</v>
      </c>
      <c r="D708" s="252" t="s">
        <v>3510</v>
      </c>
      <c r="E708" s="252">
        <v>1</v>
      </c>
      <c r="F708" s="252">
        <v>0</v>
      </c>
    </row>
    <row r="709" spans="1:6" x14ac:dyDescent="0.35">
      <c r="A709" s="252" t="s">
        <v>1224</v>
      </c>
      <c r="B709" s="252" t="s">
        <v>3473</v>
      </c>
      <c r="C709" s="252">
        <v>1401</v>
      </c>
      <c r="D709" s="252" t="s">
        <v>1163</v>
      </c>
      <c r="E709" s="252">
        <v>1</v>
      </c>
      <c r="F709" s="252">
        <v>0</v>
      </c>
    </row>
    <row r="710" spans="1:6" x14ac:dyDescent="0.35">
      <c r="A710" s="252" t="s">
        <v>3506</v>
      </c>
      <c r="B710" s="252" t="s">
        <v>1071</v>
      </c>
      <c r="C710" s="252" t="s">
        <v>3508</v>
      </c>
      <c r="D710" s="252" t="s">
        <v>3508</v>
      </c>
      <c r="E710" s="252">
        <v>1</v>
      </c>
      <c r="F710" s="252">
        <v>0</v>
      </c>
    </row>
    <row r="711" spans="1:6" x14ac:dyDescent="0.35">
      <c r="A711" s="252" t="s">
        <v>3506</v>
      </c>
      <c r="B711" s="252" t="s">
        <v>1038</v>
      </c>
      <c r="C711" s="252" t="s">
        <v>1125</v>
      </c>
      <c r="D711" s="252" t="s">
        <v>1125</v>
      </c>
      <c r="E711" s="252">
        <v>1</v>
      </c>
      <c r="F711" s="252">
        <v>0</v>
      </c>
    </row>
    <row r="712" spans="1:6" x14ac:dyDescent="0.35">
      <c r="A712" s="252" t="s">
        <v>3506</v>
      </c>
      <c r="B712" s="252" t="s">
        <v>1078</v>
      </c>
      <c r="C712" s="252">
        <v>1401</v>
      </c>
      <c r="D712" s="252" t="s">
        <v>1163</v>
      </c>
      <c r="E712" s="252">
        <v>1</v>
      </c>
      <c r="F712" s="252">
        <v>0</v>
      </c>
    </row>
    <row r="713" spans="1:6" x14ac:dyDescent="0.35">
      <c r="A713" s="252" t="s">
        <v>3506</v>
      </c>
      <c r="B713" s="252" t="s">
        <v>1078</v>
      </c>
      <c r="C713" s="252" t="s">
        <v>1215</v>
      </c>
      <c r="D713" s="252" t="s">
        <v>1215</v>
      </c>
      <c r="E713" s="252">
        <v>1</v>
      </c>
      <c r="F713" s="252">
        <v>0</v>
      </c>
    </row>
    <row r="714" spans="1:6" x14ac:dyDescent="0.35">
      <c r="A714" s="252" t="s">
        <v>3506</v>
      </c>
      <c r="B714" s="252" t="s">
        <v>1078</v>
      </c>
      <c r="C714" s="252">
        <v>702</v>
      </c>
      <c r="D714" s="252" t="s">
        <v>1215</v>
      </c>
      <c r="E714" s="252">
        <v>1</v>
      </c>
      <c r="F714" s="252">
        <v>0</v>
      </c>
    </row>
    <row r="715" spans="1:6" x14ac:dyDescent="0.35">
      <c r="A715" s="252" t="s">
        <v>3506</v>
      </c>
      <c r="B715" s="252" t="s">
        <v>1054</v>
      </c>
      <c r="C715" s="252" t="s">
        <v>1210</v>
      </c>
      <c r="D715" s="252" t="s">
        <v>1163</v>
      </c>
      <c r="E715" s="252">
        <v>1</v>
      </c>
      <c r="F715" s="252">
        <v>0</v>
      </c>
    </row>
    <row r="716" spans="1:6" x14ac:dyDescent="0.35">
      <c r="A716" s="252" t="s">
        <v>3506</v>
      </c>
      <c r="B716" s="252" t="s">
        <v>1054</v>
      </c>
      <c r="C716" s="252">
        <v>1401</v>
      </c>
      <c r="D716" s="252" t="s">
        <v>1163</v>
      </c>
      <c r="E716" s="252">
        <v>1</v>
      </c>
      <c r="F716" s="252">
        <v>0</v>
      </c>
    </row>
    <row r="717" spans="1:6" x14ac:dyDescent="0.35">
      <c r="A717" s="252" t="s">
        <v>3506</v>
      </c>
      <c r="B717" s="252" t="s">
        <v>1054</v>
      </c>
      <c r="C717" s="252" t="s">
        <v>1180</v>
      </c>
      <c r="D717" s="252" t="s">
        <v>1180</v>
      </c>
      <c r="E717" s="252">
        <v>1</v>
      </c>
      <c r="F717" s="252">
        <v>0</v>
      </c>
    </row>
    <row r="718" spans="1:6" x14ac:dyDescent="0.35">
      <c r="A718" s="252" t="s">
        <v>3506</v>
      </c>
      <c r="B718" s="252" t="s">
        <v>1099</v>
      </c>
      <c r="C718" s="252" t="s">
        <v>1210</v>
      </c>
      <c r="D718" s="252" t="s">
        <v>1210</v>
      </c>
      <c r="E718" s="252">
        <v>1</v>
      </c>
      <c r="F718" s="252">
        <v>0</v>
      </c>
    </row>
    <row r="719" spans="1:6" x14ac:dyDescent="0.35">
      <c r="A719" s="252" t="s">
        <v>3506</v>
      </c>
      <c r="B719" s="252" t="s">
        <v>1099</v>
      </c>
      <c r="C719" s="252">
        <v>1401</v>
      </c>
      <c r="D719" s="252" t="s">
        <v>1163</v>
      </c>
      <c r="E719" s="252">
        <v>1</v>
      </c>
      <c r="F719" s="252">
        <v>0</v>
      </c>
    </row>
    <row r="720" spans="1:6" x14ac:dyDescent="0.35">
      <c r="A720" s="252" t="s">
        <v>3506</v>
      </c>
      <c r="B720" s="252" t="s">
        <v>3469</v>
      </c>
      <c r="C720" s="252">
        <v>1401</v>
      </c>
      <c r="D720" s="252" t="s">
        <v>1163</v>
      </c>
      <c r="E720" s="252">
        <v>1</v>
      </c>
      <c r="F720" s="252">
        <v>0</v>
      </c>
    </row>
    <row r="721" spans="1:6" x14ac:dyDescent="0.35">
      <c r="A721" s="252" t="s">
        <v>3506</v>
      </c>
      <c r="B721" s="252" t="s">
        <v>3469</v>
      </c>
      <c r="C721" s="252" t="s">
        <v>1175</v>
      </c>
      <c r="D721" s="252" t="s">
        <v>1175</v>
      </c>
      <c r="E721" s="252">
        <v>1</v>
      </c>
      <c r="F721" s="252">
        <v>0</v>
      </c>
    </row>
    <row r="722" spans="1:6" x14ac:dyDescent="0.35">
      <c r="A722" s="252" t="s">
        <v>3506</v>
      </c>
      <c r="B722" s="252" t="s">
        <v>1091</v>
      </c>
      <c r="C722" s="252" t="s">
        <v>1163</v>
      </c>
      <c r="D722" s="252" t="s">
        <v>1163</v>
      </c>
      <c r="E722" s="252">
        <v>1</v>
      </c>
      <c r="F722" s="252">
        <v>0</v>
      </c>
    </row>
    <row r="723" spans="1:6" x14ac:dyDescent="0.35">
      <c r="A723" s="252" t="s">
        <v>3506</v>
      </c>
      <c r="B723" s="252" t="s">
        <v>1086</v>
      </c>
      <c r="C723" s="252" t="s">
        <v>1167</v>
      </c>
      <c r="D723" s="252" t="s">
        <v>1167</v>
      </c>
      <c r="E723" s="252">
        <v>1</v>
      </c>
      <c r="F723" s="252">
        <v>0</v>
      </c>
    </row>
    <row r="724" spans="1:6" x14ac:dyDescent="0.35">
      <c r="A724" s="252" t="s">
        <v>3506</v>
      </c>
      <c r="B724" s="252" t="s">
        <v>1086</v>
      </c>
      <c r="C724" s="252" t="s">
        <v>1175</v>
      </c>
      <c r="D724" s="252" t="s">
        <v>1175</v>
      </c>
      <c r="E724" s="252">
        <v>1</v>
      </c>
      <c r="F724" s="252">
        <v>0</v>
      </c>
    </row>
    <row r="725" spans="1:6" x14ac:dyDescent="0.35">
      <c r="A725" s="252" t="s">
        <v>3506</v>
      </c>
      <c r="B725" s="252" t="s">
        <v>1086</v>
      </c>
      <c r="C725" s="252">
        <v>709</v>
      </c>
      <c r="D725" s="252" t="s">
        <v>1175</v>
      </c>
      <c r="E725" s="252">
        <v>1</v>
      </c>
      <c r="F725" s="252">
        <v>0</v>
      </c>
    </row>
    <row r="726" spans="1:6" x14ac:dyDescent="0.35">
      <c r="A726" s="252" t="s">
        <v>3506</v>
      </c>
      <c r="B726" s="252" t="s">
        <v>1087</v>
      </c>
      <c r="C726" s="252" t="s">
        <v>1139</v>
      </c>
      <c r="D726" s="252" t="s">
        <v>1139</v>
      </c>
      <c r="E726" s="252">
        <v>1</v>
      </c>
      <c r="F726" s="252">
        <v>0</v>
      </c>
    </row>
    <row r="727" spans="1:6" x14ac:dyDescent="0.35">
      <c r="A727" s="252" t="s">
        <v>3506</v>
      </c>
      <c r="B727" s="252" t="s">
        <v>1087</v>
      </c>
      <c r="C727" s="252" t="s">
        <v>1210</v>
      </c>
      <c r="D727" s="252" t="s">
        <v>1163</v>
      </c>
      <c r="E727" s="252">
        <v>1</v>
      </c>
      <c r="F727" s="252">
        <v>0</v>
      </c>
    </row>
    <row r="728" spans="1:6" x14ac:dyDescent="0.35">
      <c r="A728" s="252" t="s">
        <v>3506</v>
      </c>
      <c r="B728" s="252" t="s">
        <v>1087</v>
      </c>
      <c r="C728" s="252" t="s">
        <v>1123</v>
      </c>
      <c r="D728" s="252" t="s">
        <v>1123</v>
      </c>
      <c r="E728" s="252">
        <v>1</v>
      </c>
      <c r="F728" s="252">
        <v>0</v>
      </c>
    </row>
    <row r="729" spans="1:6" x14ac:dyDescent="0.35">
      <c r="A729" s="252" t="s">
        <v>3506</v>
      </c>
      <c r="B729" s="252" t="s">
        <v>1087</v>
      </c>
      <c r="C729" s="252" t="s">
        <v>1215</v>
      </c>
      <c r="D729" s="252" t="s">
        <v>1215</v>
      </c>
      <c r="E729" s="252">
        <v>1</v>
      </c>
      <c r="F729" s="252">
        <v>0</v>
      </c>
    </row>
    <row r="730" spans="1:6" x14ac:dyDescent="0.35">
      <c r="A730" s="252" t="s">
        <v>3506</v>
      </c>
      <c r="B730" s="252" t="s">
        <v>3470</v>
      </c>
      <c r="C730" s="252" t="s">
        <v>1215</v>
      </c>
      <c r="D730" s="252" t="s">
        <v>1215</v>
      </c>
      <c r="E730" s="252">
        <v>1</v>
      </c>
      <c r="F730" s="252">
        <v>0</v>
      </c>
    </row>
    <row r="731" spans="1:6" x14ac:dyDescent="0.35">
      <c r="A731" s="252" t="s">
        <v>3506</v>
      </c>
      <c r="B731" s="252" t="s">
        <v>1017</v>
      </c>
      <c r="C731" s="252" t="s">
        <v>1210</v>
      </c>
      <c r="D731" s="252" t="s">
        <v>1210</v>
      </c>
      <c r="E731" s="252">
        <v>1</v>
      </c>
      <c r="F731" s="252">
        <v>0</v>
      </c>
    </row>
    <row r="732" spans="1:6" x14ac:dyDescent="0.35">
      <c r="A732" s="252" t="s">
        <v>3506</v>
      </c>
      <c r="B732" s="252" t="s">
        <v>3471</v>
      </c>
      <c r="C732" s="252" t="s">
        <v>1134</v>
      </c>
      <c r="D732" s="252" t="s">
        <v>1134</v>
      </c>
      <c r="E732" s="252">
        <v>1</v>
      </c>
      <c r="F732" s="252">
        <v>0</v>
      </c>
    </row>
    <row r="733" spans="1:6" x14ac:dyDescent="0.35">
      <c r="A733" s="252" t="s">
        <v>3506</v>
      </c>
      <c r="B733" s="252" t="s">
        <v>3471</v>
      </c>
      <c r="C733" s="252" t="s">
        <v>1114</v>
      </c>
      <c r="D733" s="252" t="s">
        <v>1114</v>
      </c>
      <c r="E733" s="252">
        <v>1</v>
      </c>
      <c r="F733" s="252">
        <v>0</v>
      </c>
    </row>
    <row r="734" spans="1:6" x14ac:dyDescent="0.35">
      <c r="A734" s="252" t="s">
        <v>3506</v>
      </c>
      <c r="B734" s="252" t="s">
        <v>3471</v>
      </c>
      <c r="C734" s="252" t="s">
        <v>1167</v>
      </c>
      <c r="D734" s="252" t="s">
        <v>1167</v>
      </c>
      <c r="E734" s="252">
        <v>1</v>
      </c>
      <c r="F734" s="252">
        <v>0</v>
      </c>
    </row>
    <row r="735" spans="1:6" x14ac:dyDescent="0.35">
      <c r="A735" s="252" t="s">
        <v>3506</v>
      </c>
      <c r="B735" s="252" t="s">
        <v>1052</v>
      </c>
      <c r="C735" s="252" t="s">
        <v>1158</v>
      </c>
      <c r="D735" s="252" t="s">
        <v>1158</v>
      </c>
      <c r="E735" s="252">
        <v>1</v>
      </c>
      <c r="F735" s="252">
        <v>0</v>
      </c>
    </row>
    <row r="736" spans="1:6" x14ac:dyDescent="0.35">
      <c r="A736" s="252" t="s">
        <v>3506</v>
      </c>
      <c r="B736" s="252" t="s">
        <v>1098</v>
      </c>
      <c r="C736" s="252">
        <v>2800</v>
      </c>
      <c r="D736" s="252" t="s">
        <v>1139</v>
      </c>
      <c r="E736" s="252">
        <v>1</v>
      </c>
      <c r="F736" s="252">
        <v>0</v>
      </c>
    </row>
    <row r="737" spans="1:6" x14ac:dyDescent="0.35">
      <c r="A737" s="252" t="s">
        <v>3506</v>
      </c>
      <c r="B737" s="252" t="s">
        <v>3474</v>
      </c>
      <c r="C737" s="252" t="s">
        <v>1115</v>
      </c>
      <c r="D737" s="252" t="s">
        <v>1115</v>
      </c>
      <c r="E737" s="252">
        <v>1</v>
      </c>
      <c r="F737" s="252">
        <v>0</v>
      </c>
    </row>
    <row r="738" spans="1:6" x14ac:dyDescent="0.35">
      <c r="A738" s="252" t="s">
        <v>3506</v>
      </c>
      <c r="B738" s="252" t="s">
        <v>1040</v>
      </c>
      <c r="C738" s="252">
        <v>2919</v>
      </c>
      <c r="D738" s="252" t="s">
        <v>1162</v>
      </c>
      <c r="E738" s="252">
        <v>1</v>
      </c>
      <c r="F738" s="252">
        <v>0</v>
      </c>
    </row>
    <row r="739" spans="1:6" x14ac:dyDescent="0.35">
      <c r="A739" s="252" t="s">
        <v>3506</v>
      </c>
      <c r="B739" s="252" t="s">
        <v>3476</v>
      </c>
      <c r="C739" s="252" t="s">
        <v>1210</v>
      </c>
      <c r="D739" s="252" t="s">
        <v>1210</v>
      </c>
      <c r="E739" s="252">
        <v>1</v>
      </c>
      <c r="F739" s="252">
        <v>0</v>
      </c>
    </row>
    <row r="740" spans="1:6" x14ac:dyDescent="0.35">
      <c r="A740" s="252" t="s">
        <v>3506</v>
      </c>
      <c r="B740" s="252" t="s">
        <v>3476</v>
      </c>
      <c r="C740" s="252">
        <v>1401</v>
      </c>
      <c r="D740" s="252" t="s">
        <v>1163</v>
      </c>
      <c r="E740" s="252">
        <v>1</v>
      </c>
      <c r="F740" s="252">
        <v>0</v>
      </c>
    </row>
    <row r="741" spans="1:6" x14ac:dyDescent="0.35">
      <c r="A741" s="252" t="s">
        <v>3506</v>
      </c>
      <c r="B741" s="252" t="s">
        <v>1046</v>
      </c>
      <c r="C741" s="252" t="s">
        <v>1175</v>
      </c>
      <c r="D741" s="252" t="s">
        <v>1175</v>
      </c>
      <c r="E741" s="252">
        <v>1</v>
      </c>
      <c r="F741" s="252">
        <v>0</v>
      </c>
    </row>
    <row r="742" spans="1:6" x14ac:dyDescent="0.35">
      <c r="A742" s="252" t="s">
        <v>3506</v>
      </c>
      <c r="B742" s="252" t="s">
        <v>3477</v>
      </c>
      <c r="C742" s="252">
        <v>702</v>
      </c>
      <c r="D742" s="252" t="s">
        <v>1215</v>
      </c>
      <c r="E742" s="252">
        <v>1</v>
      </c>
      <c r="F742" s="252">
        <v>0</v>
      </c>
    </row>
    <row r="743" spans="1:6" x14ac:dyDescent="0.35">
      <c r="A743" s="252" t="s">
        <v>3506</v>
      </c>
      <c r="B743" s="252" t="s">
        <v>3479</v>
      </c>
      <c r="C743" s="252" t="s">
        <v>1155</v>
      </c>
      <c r="D743" s="252" t="s">
        <v>1155</v>
      </c>
      <c r="E743" s="252">
        <v>1</v>
      </c>
      <c r="F743" s="252">
        <v>0</v>
      </c>
    </row>
    <row r="744" spans="1:6" x14ac:dyDescent="0.35">
      <c r="A744" s="252" t="s">
        <v>3506</v>
      </c>
      <c r="B744" s="252" t="s">
        <v>1104</v>
      </c>
      <c r="C744" s="252" t="s">
        <v>1182</v>
      </c>
      <c r="D744" s="252" t="s">
        <v>1182</v>
      </c>
      <c r="E744" s="252">
        <v>1</v>
      </c>
      <c r="F744" s="252">
        <v>0</v>
      </c>
    </row>
    <row r="745" spans="1:6" x14ac:dyDescent="0.35">
      <c r="A745" s="252" t="s">
        <v>3506</v>
      </c>
      <c r="B745" s="252" t="s">
        <v>3480</v>
      </c>
      <c r="C745" s="252">
        <v>1104</v>
      </c>
      <c r="D745" s="252" t="s">
        <v>1200</v>
      </c>
      <c r="E745" s="252">
        <v>1</v>
      </c>
      <c r="F745" s="252">
        <v>0</v>
      </c>
    </row>
    <row r="746" spans="1:6" x14ac:dyDescent="0.35">
      <c r="A746" s="252" t="s">
        <v>3506</v>
      </c>
      <c r="B746" s="252" t="s">
        <v>1021</v>
      </c>
      <c r="C746" s="252">
        <v>2919</v>
      </c>
      <c r="D746" s="252" t="s">
        <v>1162</v>
      </c>
      <c r="E746" s="252">
        <v>1</v>
      </c>
      <c r="F746" s="252">
        <v>0</v>
      </c>
    </row>
    <row r="747" spans="1:6" x14ac:dyDescent="0.35">
      <c r="A747" s="252" t="s">
        <v>3506</v>
      </c>
      <c r="B747" s="252" t="s">
        <v>1021</v>
      </c>
      <c r="C747" s="252" t="s">
        <v>1162</v>
      </c>
      <c r="D747" s="252" t="s">
        <v>1162</v>
      </c>
      <c r="E747" s="252">
        <v>1</v>
      </c>
      <c r="F747" s="252">
        <v>0</v>
      </c>
    </row>
    <row r="748" spans="1:6" x14ac:dyDescent="0.35">
      <c r="A748" s="252" t="s">
        <v>3506</v>
      </c>
      <c r="B748" s="252" t="s">
        <v>1021</v>
      </c>
      <c r="C748" s="252" t="s">
        <v>1163</v>
      </c>
      <c r="D748" s="252" t="s">
        <v>1163</v>
      </c>
      <c r="E748" s="252">
        <v>1</v>
      </c>
      <c r="F748" s="252">
        <v>0</v>
      </c>
    </row>
    <row r="749" spans="1:6" x14ac:dyDescent="0.35">
      <c r="A749" s="252" t="s">
        <v>3506</v>
      </c>
      <c r="B749" s="252" t="s">
        <v>1021</v>
      </c>
      <c r="C749" s="252">
        <v>1709</v>
      </c>
      <c r="D749" s="252" t="s">
        <v>1167</v>
      </c>
      <c r="E749" s="252">
        <v>1</v>
      </c>
      <c r="F749" s="252">
        <v>0</v>
      </c>
    </row>
    <row r="750" spans="1:6" x14ac:dyDescent="0.35">
      <c r="A750" s="252" t="s">
        <v>3506</v>
      </c>
      <c r="B750" s="252" t="s">
        <v>3482</v>
      </c>
      <c r="C750" s="252" t="s">
        <v>1210</v>
      </c>
      <c r="D750" s="252" t="s">
        <v>1210</v>
      </c>
      <c r="E750" s="252">
        <v>1</v>
      </c>
      <c r="F750" s="252">
        <v>0</v>
      </c>
    </row>
    <row r="751" spans="1:6" x14ac:dyDescent="0.35">
      <c r="A751" s="252" t="s">
        <v>3506</v>
      </c>
      <c r="B751" s="252" t="s">
        <v>1103</v>
      </c>
      <c r="C751" s="252" t="s">
        <v>1162</v>
      </c>
      <c r="D751" s="252" t="s">
        <v>1162</v>
      </c>
      <c r="E751" s="252">
        <v>1</v>
      </c>
      <c r="F751" s="252">
        <v>0</v>
      </c>
    </row>
    <row r="752" spans="1:6" x14ac:dyDescent="0.35">
      <c r="A752" s="252" t="s">
        <v>3506</v>
      </c>
      <c r="B752" s="252" t="s">
        <v>1084</v>
      </c>
      <c r="C752" s="252">
        <v>709</v>
      </c>
      <c r="D752" s="252" t="s">
        <v>1175</v>
      </c>
      <c r="E752" s="252">
        <v>1</v>
      </c>
      <c r="F752" s="252">
        <v>0</v>
      </c>
    </row>
    <row r="753" spans="1:6" x14ac:dyDescent="0.35">
      <c r="A753" s="252" t="s">
        <v>3506</v>
      </c>
      <c r="B753" s="252" t="s">
        <v>1107</v>
      </c>
      <c r="C753" s="252" t="s">
        <v>1163</v>
      </c>
      <c r="D753" s="252" t="s">
        <v>1163</v>
      </c>
      <c r="E753" s="252">
        <v>1</v>
      </c>
      <c r="F753" s="252">
        <v>0</v>
      </c>
    </row>
    <row r="754" spans="1:6" x14ac:dyDescent="0.35">
      <c r="A754" s="252" t="s">
        <v>3506</v>
      </c>
      <c r="B754" s="252" t="s">
        <v>1079</v>
      </c>
      <c r="C754" s="252" t="s">
        <v>1124</v>
      </c>
      <c r="D754" s="252" t="s">
        <v>1124</v>
      </c>
      <c r="E754" s="252">
        <v>1</v>
      </c>
      <c r="F754" s="252">
        <v>0</v>
      </c>
    </row>
    <row r="755" spans="1:6" x14ac:dyDescent="0.35">
      <c r="A755" s="252" t="s">
        <v>3506</v>
      </c>
      <c r="B755" s="252" t="s">
        <v>1027</v>
      </c>
      <c r="C755" s="252">
        <v>5762</v>
      </c>
      <c r="D755" s="252" t="s">
        <v>1125</v>
      </c>
      <c r="E755" s="252">
        <v>1</v>
      </c>
      <c r="F755" s="252">
        <v>0</v>
      </c>
    </row>
    <row r="756" spans="1:6" x14ac:dyDescent="0.35">
      <c r="A756" s="252" t="s">
        <v>3506</v>
      </c>
      <c r="B756" s="252" t="s">
        <v>1027</v>
      </c>
      <c r="C756" s="252" t="s">
        <v>1211</v>
      </c>
      <c r="D756" s="252" t="s">
        <v>1211</v>
      </c>
      <c r="E756" s="252">
        <v>1</v>
      </c>
      <c r="F756" s="252">
        <v>0</v>
      </c>
    </row>
    <row r="757" spans="1:6" x14ac:dyDescent="0.35">
      <c r="A757" s="252" t="s">
        <v>3506</v>
      </c>
      <c r="B757" s="252" t="s">
        <v>993</v>
      </c>
      <c r="C757" s="252" t="s">
        <v>1167</v>
      </c>
      <c r="D757" s="252" t="s">
        <v>1167</v>
      </c>
      <c r="E757" s="252">
        <v>1</v>
      </c>
      <c r="F757" s="252">
        <v>0</v>
      </c>
    </row>
    <row r="758" spans="1:6" x14ac:dyDescent="0.35">
      <c r="A758" s="252" t="s">
        <v>3506</v>
      </c>
      <c r="B758" s="252" t="s">
        <v>1010</v>
      </c>
      <c r="C758" s="252" t="s">
        <v>1215</v>
      </c>
      <c r="D758" s="252" t="s">
        <v>1215</v>
      </c>
      <c r="E758" s="252">
        <v>1</v>
      </c>
      <c r="F758" s="252">
        <v>0</v>
      </c>
    </row>
    <row r="759" spans="1:6" x14ac:dyDescent="0.35">
      <c r="A759" s="252" t="s">
        <v>3506</v>
      </c>
      <c r="B759" s="252" t="s">
        <v>1095</v>
      </c>
      <c r="C759" s="252" t="s">
        <v>1129</v>
      </c>
      <c r="D759" s="252" t="s">
        <v>1129</v>
      </c>
      <c r="E759" s="252">
        <v>1</v>
      </c>
      <c r="F759" s="252">
        <v>0</v>
      </c>
    </row>
    <row r="760" spans="1:6" x14ac:dyDescent="0.35">
      <c r="A760" s="252" t="s">
        <v>3506</v>
      </c>
      <c r="B760" s="252" t="s">
        <v>1096</v>
      </c>
      <c r="C760" s="252" t="s">
        <v>1129</v>
      </c>
      <c r="D760" s="252" t="s">
        <v>1129</v>
      </c>
      <c r="E760" s="252">
        <v>1</v>
      </c>
      <c r="F760" s="252">
        <v>0</v>
      </c>
    </row>
    <row r="761" spans="1:6" x14ac:dyDescent="0.35">
      <c r="A761" s="252" t="s">
        <v>3506</v>
      </c>
      <c r="B761" s="252" t="s">
        <v>1092</v>
      </c>
      <c r="C761" s="252" t="s">
        <v>1167</v>
      </c>
      <c r="D761" s="252" t="s">
        <v>1167</v>
      </c>
      <c r="E761" s="252">
        <v>1</v>
      </c>
      <c r="F761" s="252">
        <v>0</v>
      </c>
    </row>
    <row r="762" spans="1:6" x14ac:dyDescent="0.35">
      <c r="A762" s="252" t="s">
        <v>3506</v>
      </c>
      <c r="B762" s="252" t="s">
        <v>1094</v>
      </c>
      <c r="C762" s="252">
        <v>2800</v>
      </c>
      <c r="D762" s="252" t="s">
        <v>1139</v>
      </c>
      <c r="E762" s="252">
        <v>1</v>
      </c>
      <c r="F762" s="252">
        <v>0</v>
      </c>
    </row>
    <row r="763" spans="1:6" x14ac:dyDescent="0.35">
      <c r="A763" s="252" t="s">
        <v>3506</v>
      </c>
      <c r="B763" s="252" t="s">
        <v>1097</v>
      </c>
      <c r="C763" s="252" t="s">
        <v>1114</v>
      </c>
      <c r="D763" s="252" t="s">
        <v>1114</v>
      </c>
      <c r="E763" s="252">
        <v>1</v>
      </c>
      <c r="F763" s="252">
        <v>0</v>
      </c>
    </row>
    <row r="764" spans="1:6" x14ac:dyDescent="0.35">
      <c r="A764" s="252" t="s">
        <v>3506</v>
      </c>
      <c r="B764" s="252" t="s">
        <v>1076</v>
      </c>
      <c r="C764" s="252" t="s">
        <v>1211</v>
      </c>
      <c r="D764" s="252" t="s">
        <v>1211</v>
      </c>
      <c r="E764" s="252">
        <v>1</v>
      </c>
      <c r="F764" s="252">
        <v>0</v>
      </c>
    </row>
    <row r="765" spans="1:6" x14ac:dyDescent="0.35">
      <c r="A765" s="252" t="s">
        <v>3506</v>
      </c>
      <c r="B765" s="252" t="s">
        <v>1055</v>
      </c>
      <c r="C765" s="252" t="s">
        <v>1163</v>
      </c>
      <c r="D765" s="252" t="s">
        <v>1163</v>
      </c>
      <c r="E765" s="252">
        <v>1</v>
      </c>
      <c r="F765" s="252">
        <v>0</v>
      </c>
    </row>
    <row r="766" spans="1:6" x14ac:dyDescent="0.35">
      <c r="A766" s="252" t="s">
        <v>3506</v>
      </c>
      <c r="B766" s="252" t="s">
        <v>987</v>
      </c>
      <c r="C766" s="252" t="s">
        <v>1215</v>
      </c>
      <c r="D766" s="252" t="s">
        <v>1215</v>
      </c>
      <c r="E766" s="252">
        <v>1</v>
      </c>
      <c r="F766" s="252">
        <v>0</v>
      </c>
    </row>
    <row r="767" spans="1:6" x14ac:dyDescent="0.35">
      <c r="A767" s="252" t="s">
        <v>3506</v>
      </c>
      <c r="B767" s="252" t="s">
        <v>1101</v>
      </c>
      <c r="C767" s="252">
        <v>1401</v>
      </c>
      <c r="D767" s="252" t="s">
        <v>1163</v>
      </c>
      <c r="E767" s="252">
        <v>1</v>
      </c>
      <c r="F767" s="252">
        <v>0</v>
      </c>
    </row>
    <row r="768" spans="1:6" x14ac:dyDescent="0.35">
      <c r="A768" s="252" t="s">
        <v>3506</v>
      </c>
      <c r="B768" s="252" t="s">
        <v>1093</v>
      </c>
      <c r="C768" s="252" t="s">
        <v>1163</v>
      </c>
      <c r="D768" s="252" t="s">
        <v>1163</v>
      </c>
      <c r="E768" s="252">
        <v>1</v>
      </c>
      <c r="F768" s="252">
        <v>0</v>
      </c>
    </row>
    <row r="769" spans="1:6" x14ac:dyDescent="0.35">
      <c r="A769" s="252" t="s">
        <v>3506</v>
      </c>
      <c r="B769" s="252" t="s">
        <v>1053</v>
      </c>
      <c r="C769" s="252">
        <v>5762</v>
      </c>
      <c r="D769" s="252" t="s">
        <v>1125</v>
      </c>
      <c r="E769" s="252">
        <v>1</v>
      </c>
      <c r="F769" s="252">
        <v>0</v>
      </c>
    </row>
    <row r="770" spans="1:6" x14ac:dyDescent="0.35">
      <c r="A770" s="252" t="s">
        <v>3506</v>
      </c>
      <c r="B770" s="252" t="s">
        <v>1062</v>
      </c>
      <c r="C770" s="252">
        <v>3085</v>
      </c>
      <c r="D770" s="252" t="s">
        <v>1211</v>
      </c>
      <c r="E770" s="252">
        <v>1</v>
      </c>
      <c r="F770" s="252">
        <v>0</v>
      </c>
    </row>
    <row r="771" spans="1:6" x14ac:dyDescent="0.35">
      <c r="A771" s="252" t="s">
        <v>3506</v>
      </c>
      <c r="B771" s="252" t="s">
        <v>1062</v>
      </c>
      <c r="C771" s="252">
        <v>5762</v>
      </c>
      <c r="D771" s="252" t="s">
        <v>1125</v>
      </c>
      <c r="E771" s="252">
        <v>1</v>
      </c>
      <c r="F771" s="252">
        <v>0</v>
      </c>
    </row>
    <row r="772" spans="1:6" x14ac:dyDescent="0.35">
      <c r="A772" s="252" t="s">
        <v>3506</v>
      </c>
      <c r="B772" s="252" t="s">
        <v>1062</v>
      </c>
      <c r="C772" s="252" t="s">
        <v>1211</v>
      </c>
      <c r="D772" s="252" t="s">
        <v>1211</v>
      </c>
      <c r="E772" s="252">
        <v>1</v>
      </c>
      <c r="F772" s="252">
        <v>0</v>
      </c>
    </row>
    <row r="773" spans="1:6" x14ac:dyDescent="0.35">
      <c r="A773" s="252" t="s">
        <v>3506</v>
      </c>
      <c r="B773" s="252" t="s">
        <v>3490</v>
      </c>
      <c r="C773" s="252" t="s">
        <v>1163</v>
      </c>
      <c r="D773" s="252" t="s">
        <v>1163</v>
      </c>
      <c r="E773" s="252">
        <v>1</v>
      </c>
      <c r="F773" s="252">
        <v>0</v>
      </c>
    </row>
    <row r="774" spans="1:6" x14ac:dyDescent="0.35">
      <c r="A774" s="252" t="s">
        <v>3506</v>
      </c>
      <c r="B774" s="252" t="s">
        <v>3491</v>
      </c>
      <c r="C774" s="252" t="s">
        <v>1163</v>
      </c>
      <c r="D774" s="252" t="s">
        <v>1163</v>
      </c>
      <c r="E774" s="252">
        <v>1</v>
      </c>
      <c r="F774" s="252">
        <v>0</v>
      </c>
    </row>
    <row r="775" spans="1:6" x14ac:dyDescent="0.35">
      <c r="A775" s="252" t="s">
        <v>3506</v>
      </c>
      <c r="B775" s="252" t="s">
        <v>1037</v>
      </c>
      <c r="C775" s="252">
        <v>7161</v>
      </c>
      <c r="D775" s="252" t="s">
        <v>3508</v>
      </c>
      <c r="E775" s="252">
        <v>1</v>
      </c>
      <c r="F775" s="252">
        <v>0</v>
      </c>
    </row>
    <row r="776" spans="1:6" x14ac:dyDescent="0.35">
      <c r="A776" s="252" t="s">
        <v>3506</v>
      </c>
      <c r="B776" s="252" t="s">
        <v>996</v>
      </c>
      <c r="C776" s="252">
        <v>7161</v>
      </c>
      <c r="D776" s="252" t="s">
        <v>3508</v>
      </c>
      <c r="E776" s="252">
        <v>1</v>
      </c>
      <c r="F776" s="252">
        <v>0</v>
      </c>
    </row>
    <row r="777" spans="1:6" x14ac:dyDescent="0.35">
      <c r="A777" s="252" t="s">
        <v>3506</v>
      </c>
      <c r="B777" s="252" t="s">
        <v>996</v>
      </c>
      <c r="C777" s="252" t="s">
        <v>981</v>
      </c>
      <c r="D777" s="252" t="s">
        <v>981</v>
      </c>
      <c r="E777" s="252">
        <v>1</v>
      </c>
      <c r="F777" s="252">
        <v>0</v>
      </c>
    </row>
    <row r="778" spans="1:6" x14ac:dyDescent="0.35">
      <c r="A778" s="252" t="s">
        <v>3506</v>
      </c>
      <c r="B778" s="252" t="s">
        <v>996</v>
      </c>
      <c r="C778" s="252" t="s">
        <v>1202</v>
      </c>
      <c r="D778" s="252" t="s">
        <v>1202</v>
      </c>
      <c r="E778" s="252">
        <v>1</v>
      </c>
      <c r="F778" s="252">
        <v>0</v>
      </c>
    </row>
    <row r="779" spans="1:6" x14ac:dyDescent="0.35">
      <c r="A779" s="252" t="s">
        <v>3506</v>
      </c>
      <c r="B779" s="252" t="s">
        <v>996</v>
      </c>
      <c r="C779" s="252" t="s">
        <v>1111</v>
      </c>
      <c r="D779" s="252" t="s">
        <v>1111</v>
      </c>
      <c r="E779" s="252">
        <v>1</v>
      </c>
      <c r="F779" s="252">
        <v>0</v>
      </c>
    </row>
    <row r="780" spans="1:6" x14ac:dyDescent="0.35">
      <c r="A780" s="252" t="s">
        <v>3506</v>
      </c>
      <c r="B780" s="252" t="s">
        <v>996</v>
      </c>
      <c r="C780" s="252" t="s">
        <v>1174</v>
      </c>
      <c r="D780" s="252" t="s">
        <v>1174</v>
      </c>
      <c r="E780" s="252">
        <v>1</v>
      </c>
      <c r="F780" s="252">
        <v>0</v>
      </c>
    </row>
    <row r="781" spans="1:6" x14ac:dyDescent="0.35">
      <c r="A781" s="252" t="s">
        <v>3506</v>
      </c>
      <c r="B781" s="252" t="s">
        <v>988</v>
      </c>
      <c r="C781" s="252">
        <v>2660</v>
      </c>
      <c r="D781" s="252" t="s">
        <v>1204</v>
      </c>
      <c r="E781" s="252">
        <v>1</v>
      </c>
      <c r="F781" s="252">
        <v>0</v>
      </c>
    </row>
    <row r="782" spans="1:6" x14ac:dyDescent="0.35">
      <c r="A782" s="252" t="s">
        <v>3506</v>
      </c>
      <c r="B782" s="252" t="s">
        <v>988</v>
      </c>
      <c r="C782" s="252" t="s">
        <v>981</v>
      </c>
      <c r="D782" s="252" t="s">
        <v>981</v>
      </c>
      <c r="E782" s="252">
        <v>1</v>
      </c>
      <c r="F782" s="252">
        <v>0</v>
      </c>
    </row>
    <row r="783" spans="1:6" x14ac:dyDescent="0.35">
      <c r="A783" s="252" t="s">
        <v>3506</v>
      </c>
      <c r="B783" s="252" t="s">
        <v>3493</v>
      </c>
      <c r="C783" s="252" t="s">
        <v>1134</v>
      </c>
      <c r="D783" s="252" t="s">
        <v>1134</v>
      </c>
      <c r="E783" s="252">
        <v>1</v>
      </c>
      <c r="F783" s="252">
        <v>0</v>
      </c>
    </row>
    <row r="784" spans="1:6" x14ac:dyDescent="0.35">
      <c r="A784" s="252" t="s">
        <v>3506</v>
      </c>
      <c r="B784" s="252" t="s">
        <v>1024</v>
      </c>
      <c r="C784" s="252">
        <v>1406</v>
      </c>
      <c r="D784" s="252" t="s">
        <v>1115</v>
      </c>
      <c r="E784" s="252">
        <v>1</v>
      </c>
      <c r="F784" s="252">
        <v>0</v>
      </c>
    </row>
    <row r="785" spans="1:6" x14ac:dyDescent="0.35">
      <c r="A785" s="252" t="s">
        <v>3506</v>
      </c>
      <c r="B785" s="252" t="s">
        <v>3494</v>
      </c>
      <c r="C785" s="252" t="s">
        <v>1125</v>
      </c>
      <c r="D785" s="252" t="s">
        <v>1125</v>
      </c>
      <c r="E785" s="252">
        <v>1</v>
      </c>
      <c r="F785" s="252">
        <v>0</v>
      </c>
    </row>
    <row r="786" spans="1:6" x14ac:dyDescent="0.35">
      <c r="A786" s="252" t="s">
        <v>3506</v>
      </c>
      <c r="B786" s="252" t="s">
        <v>1074</v>
      </c>
      <c r="C786" s="252" t="s">
        <v>1189</v>
      </c>
      <c r="D786" s="252" t="s">
        <v>1189</v>
      </c>
      <c r="E786" s="252">
        <v>1</v>
      </c>
      <c r="F786" s="252">
        <v>0</v>
      </c>
    </row>
    <row r="787" spans="1:6" x14ac:dyDescent="0.35">
      <c r="A787" s="252" t="s">
        <v>3506</v>
      </c>
      <c r="B787" s="252" t="s">
        <v>1041</v>
      </c>
      <c r="C787" s="252">
        <v>1401</v>
      </c>
      <c r="D787" s="252" t="s">
        <v>1163</v>
      </c>
      <c r="E787" s="252">
        <v>1</v>
      </c>
      <c r="F787" s="252">
        <v>0</v>
      </c>
    </row>
    <row r="788" spans="1:6" x14ac:dyDescent="0.35">
      <c r="A788" s="252" t="s">
        <v>3506</v>
      </c>
      <c r="B788" s="252" t="s">
        <v>3497</v>
      </c>
      <c r="C788" s="252">
        <v>1406</v>
      </c>
      <c r="D788" s="252" t="s">
        <v>1115</v>
      </c>
      <c r="E788" s="252">
        <v>1</v>
      </c>
      <c r="F788" s="252">
        <v>0</v>
      </c>
    </row>
    <row r="789" spans="1:6" x14ac:dyDescent="0.35">
      <c r="A789" s="252" t="s">
        <v>3506</v>
      </c>
      <c r="B789" s="252" t="s">
        <v>1025</v>
      </c>
      <c r="C789" s="252">
        <v>901</v>
      </c>
      <c r="D789" s="252" t="s">
        <v>1136</v>
      </c>
      <c r="E789" s="252">
        <v>1</v>
      </c>
      <c r="F789" s="252">
        <v>0</v>
      </c>
    </row>
    <row r="790" spans="1:6" x14ac:dyDescent="0.35">
      <c r="A790" s="252" t="s">
        <v>3506</v>
      </c>
      <c r="B790" s="252" t="s">
        <v>1088</v>
      </c>
      <c r="C790" s="252" t="s">
        <v>1163</v>
      </c>
      <c r="D790" s="252" t="s">
        <v>1163</v>
      </c>
      <c r="E790" s="252">
        <v>1</v>
      </c>
      <c r="F790" s="252">
        <v>0</v>
      </c>
    </row>
    <row r="791" spans="1:6" x14ac:dyDescent="0.35">
      <c r="A791" s="252" t="s">
        <v>3506</v>
      </c>
      <c r="B791" s="252" t="s">
        <v>1067</v>
      </c>
      <c r="C791" s="252" t="s">
        <v>1139</v>
      </c>
      <c r="D791" s="252" t="s">
        <v>1139</v>
      </c>
      <c r="E791" s="252">
        <v>1</v>
      </c>
      <c r="F791" s="252">
        <v>0</v>
      </c>
    </row>
    <row r="792" spans="1:6" x14ac:dyDescent="0.35">
      <c r="A792" s="252" t="s">
        <v>3506</v>
      </c>
      <c r="B792" s="252" t="s">
        <v>1067</v>
      </c>
      <c r="C792" s="252" t="s">
        <v>1216</v>
      </c>
      <c r="D792" s="252" t="s">
        <v>1216</v>
      </c>
      <c r="E792" s="252">
        <v>1</v>
      </c>
      <c r="F792" s="252">
        <v>0</v>
      </c>
    </row>
    <row r="793" spans="1:6" x14ac:dyDescent="0.35">
      <c r="A793" s="252" t="s">
        <v>1222</v>
      </c>
      <c r="B793" s="252" t="s">
        <v>1022</v>
      </c>
      <c r="C793" s="252">
        <v>2684</v>
      </c>
      <c r="D793" s="252" t="s">
        <v>1114</v>
      </c>
      <c r="E793" s="252">
        <v>1</v>
      </c>
      <c r="F793" s="252">
        <v>0</v>
      </c>
    </row>
    <row r="794" spans="1:6" x14ac:dyDescent="0.35">
      <c r="A794" s="252" t="s">
        <v>1222</v>
      </c>
      <c r="B794" s="252" t="s">
        <v>1022</v>
      </c>
      <c r="C794" s="252">
        <v>2800</v>
      </c>
      <c r="D794" s="252" t="s">
        <v>1139</v>
      </c>
      <c r="E794" s="252">
        <v>1</v>
      </c>
      <c r="F794" s="252">
        <v>0</v>
      </c>
    </row>
    <row r="795" spans="1:6" x14ac:dyDescent="0.35">
      <c r="A795" s="252" t="s">
        <v>1222</v>
      </c>
      <c r="B795" s="252" t="s">
        <v>1022</v>
      </c>
      <c r="C795" s="252">
        <v>3980</v>
      </c>
      <c r="D795" s="252" t="s">
        <v>981</v>
      </c>
      <c r="E795" s="252">
        <v>1</v>
      </c>
      <c r="F795" s="252">
        <v>0</v>
      </c>
    </row>
    <row r="796" spans="1:6" x14ac:dyDescent="0.35">
      <c r="A796" s="252" t="s">
        <v>1222</v>
      </c>
      <c r="B796" s="252" t="s">
        <v>1022</v>
      </c>
      <c r="C796" s="252" t="s">
        <v>1167</v>
      </c>
      <c r="D796" s="252" t="s">
        <v>1167</v>
      </c>
      <c r="E796" s="252">
        <v>1</v>
      </c>
      <c r="F796" s="252">
        <v>0</v>
      </c>
    </row>
    <row r="797" spans="1:6" x14ac:dyDescent="0.35">
      <c r="A797" s="252" t="s">
        <v>1222</v>
      </c>
      <c r="B797" s="252" t="s">
        <v>1022</v>
      </c>
      <c r="C797" s="252" t="s">
        <v>1110</v>
      </c>
      <c r="D797" s="252" t="s">
        <v>1110</v>
      </c>
      <c r="E797" s="252">
        <v>1</v>
      </c>
      <c r="F797" s="252">
        <v>0</v>
      </c>
    </row>
    <row r="798" spans="1:6" x14ac:dyDescent="0.35">
      <c r="A798" s="252" t="s">
        <v>1222</v>
      </c>
      <c r="B798" s="252" t="s">
        <v>3478</v>
      </c>
      <c r="C798" s="252" t="s">
        <v>3504</v>
      </c>
      <c r="D798" s="252" t="s">
        <v>1200</v>
      </c>
      <c r="E798" s="252">
        <v>1</v>
      </c>
      <c r="F798" s="252">
        <v>0</v>
      </c>
    </row>
    <row r="799" spans="1:6" x14ac:dyDescent="0.35">
      <c r="A799" s="252" t="s">
        <v>1223</v>
      </c>
      <c r="B799" s="252" t="s">
        <v>3475</v>
      </c>
      <c r="C799" s="252" t="s">
        <v>1167</v>
      </c>
      <c r="D799" s="252" t="s">
        <v>1167</v>
      </c>
      <c r="E799" s="252">
        <v>1</v>
      </c>
      <c r="F799" s="252">
        <v>0</v>
      </c>
    </row>
    <row r="800" spans="1:6" x14ac:dyDescent="0.35">
      <c r="A800" s="252" t="s">
        <v>1223</v>
      </c>
      <c r="B800" s="252" t="s">
        <v>3487</v>
      </c>
      <c r="C800" s="252">
        <v>1401</v>
      </c>
      <c r="D800" s="252" t="s">
        <v>1163</v>
      </c>
      <c r="E800" s="252">
        <v>1</v>
      </c>
      <c r="F800" s="252">
        <v>0</v>
      </c>
    </row>
    <row r="801" spans="1:6" x14ac:dyDescent="0.35">
      <c r="A801" s="252" t="s">
        <v>1223</v>
      </c>
      <c r="B801" s="252" t="s">
        <v>1047</v>
      </c>
      <c r="C801" s="252">
        <v>1520</v>
      </c>
      <c r="D801" s="252" t="s">
        <v>1110</v>
      </c>
      <c r="E801" s="252">
        <v>1</v>
      </c>
      <c r="F801" s="252">
        <v>0</v>
      </c>
    </row>
    <row r="802" spans="1:6" x14ac:dyDescent="0.35">
      <c r="A802" s="252" t="s">
        <v>1223</v>
      </c>
      <c r="B802" s="252" t="s">
        <v>1047</v>
      </c>
      <c r="C802" s="252">
        <v>6817</v>
      </c>
      <c r="D802" s="252" t="s">
        <v>1151</v>
      </c>
      <c r="E802" s="252">
        <v>1</v>
      </c>
      <c r="F802" s="252">
        <v>0</v>
      </c>
    </row>
    <row r="803" spans="1:6" x14ac:dyDescent="0.35">
      <c r="A803" s="252" t="s">
        <v>1223</v>
      </c>
      <c r="B803" s="252" t="s">
        <v>1047</v>
      </c>
      <c r="C803" s="252" t="s">
        <v>1210</v>
      </c>
      <c r="D803" s="252" t="s">
        <v>1210</v>
      </c>
      <c r="E803" s="252">
        <v>1</v>
      </c>
      <c r="F803" s="252">
        <v>0</v>
      </c>
    </row>
    <row r="804" spans="1:6" x14ac:dyDescent="0.35">
      <c r="A804" s="252" t="s">
        <v>1223</v>
      </c>
      <c r="B804" s="252" t="s">
        <v>1047</v>
      </c>
      <c r="C804" s="252">
        <v>1401</v>
      </c>
      <c r="D804" s="252" t="s">
        <v>1163</v>
      </c>
      <c r="E804" s="252">
        <v>1</v>
      </c>
      <c r="F804" s="252">
        <v>0</v>
      </c>
    </row>
    <row r="805" spans="1:6" x14ac:dyDescent="0.35">
      <c r="A805" s="252" t="s">
        <v>1223</v>
      </c>
      <c r="B805" s="252" t="s">
        <v>1047</v>
      </c>
      <c r="C805" s="252">
        <v>1602</v>
      </c>
      <c r="D805" s="252" t="s">
        <v>1144</v>
      </c>
      <c r="E805" s="252">
        <v>1</v>
      </c>
      <c r="F805" s="252">
        <v>0</v>
      </c>
    </row>
    <row r="806" spans="1:6" x14ac:dyDescent="0.35">
      <c r="A806" s="252" t="s">
        <v>965</v>
      </c>
      <c r="B806" s="252" t="s">
        <v>991</v>
      </c>
      <c r="C806" s="252" t="s">
        <v>1162</v>
      </c>
      <c r="D806" s="252" t="s">
        <v>1162</v>
      </c>
      <c r="E806" s="252">
        <v>1</v>
      </c>
      <c r="F806" s="252">
        <v>0</v>
      </c>
    </row>
    <row r="807" spans="1:6" x14ac:dyDescent="0.35">
      <c r="A807" s="252" t="s">
        <v>965</v>
      </c>
      <c r="B807" s="252" t="s">
        <v>991</v>
      </c>
      <c r="C807" s="252" t="s">
        <v>1144</v>
      </c>
      <c r="D807" s="252" t="s">
        <v>1144</v>
      </c>
      <c r="E807" s="252">
        <v>1</v>
      </c>
      <c r="F807" s="252">
        <v>0</v>
      </c>
    </row>
    <row r="808" spans="1:6" x14ac:dyDescent="0.35">
      <c r="A808" s="252" t="s">
        <v>965</v>
      </c>
      <c r="B808" s="252" t="s">
        <v>991</v>
      </c>
      <c r="C808" s="252">
        <v>2881</v>
      </c>
      <c r="D808" s="252" t="s">
        <v>1181</v>
      </c>
      <c r="E808" s="252">
        <v>1</v>
      </c>
      <c r="F808" s="252">
        <v>0</v>
      </c>
    </row>
    <row r="809" spans="1:6" x14ac:dyDescent="0.35">
      <c r="A809" s="252" t="s">
        <v>965</v>
      </c>
      <c r="B809" s="252" t="s">
        <v>991</v>
      </c>
      <c r="C809" s="252" t="s">
        <v>1209</v>
      </c>
      <c r="D809" s="252" t="s">
        <v>1209</v>
      </c>
      <c r="E809" s="252">
        <v>1</v>
      </c>
      <c r="F809" s="252">
        <v>0</v>
      </c>
    </row>
    <row r="810" spans="1:6" x14ac:dyDescent="0.35">
      <c r="A810" s="252" t="s">
        <v>965</v>
      </c>
      <c r="B810" s="252" t="s">
        <v>991</v>
      </c>
      <c r="C810" s="252" t="s">
        <v>1110</v>
      </c>
      <c r="D810" s="252" t="s">
        <v>1110</v>
      </c>
      <c r="E810" s="252">
        <v>1</v>
      </c>
      <c r="F810" s="252">
        <v>0</v>
      </c>
    </row>
    <row r="811" spans="1:6" x14ac:dyDescent="0.35">
      <c r="A811" s="252" t="s">
        <v>965</v>
      </c>
      <c r="B811" s="252" t="s">
        <v>1018</v>
      </c>
      <c r="C811" s="252" t="s">
        <v>1125</v>
      </c>
      <c r="D811" s="252" t="s">
        <v>1125</v>
      </c>
      <c r="E811" s="252">
        <v>1</v>
      </c>
      <c r="F811" s="252">
        <v>0</v>
      </c>
    </row>
    <row r="812" spans="1:6" x14ac:dyDescent="0.35">
      <c r="A812" s="252" t="s">
        <v>965</v>
      </c>
      <c r="B812" s="252" t="s">
        <v>1057</v>
      </c>
      <c r="C812" s="252" t="s">
        <v>1167</v>
      </c>
      <c r="D812" s="252" t="s">
        <v>1167</v>
      </c>
      <c r="E812" s="252">
        <v>1</v>
      </c>
      <c r="F812" s="252">
        <v>0</v>
      </c>
    </row>
    <row r="813" spans="1:6" x14ac:dyDescent="0.35">
      <c r="A813" s="252" t="s">
        <v>965</v>
      </c>
      <c r="B813" s="252" t="s">
        <v>1057</v>
      </c>
      <c r="C813" s="252" t="s">
        <v>1215</v>
      </c>
      <c r="D813" s="252" t="s">
        <v>1215</v>
      </c>
      <c r="E813" s="252">
        <v>1</v>
      </c>
      <c r="F813" s="252">
        <v>0</v>
      </c>
    </row>
    <row r="814" spans="1:6" x14ac:dyDescent="0.35">
      <c r="A814" s="252" t="s">
        <v>965</v>
      </c>
      <c r="B814" s="252" t="s">
        <v>1058</v>
      </c>
      <c r="C814" s="252" t="s">
        <v>1113</v>
      </c>
      <c r="D814" s="252" t="s">
        <v>1113</v>
      </c>
      <c r="E814" s="252">
        <v>1</v>
      </c>
      <c r="F814" s="252">
        <v>0</v>
      </c>
    </row>
    <row r="815" spans="1:6" x14ac:dyDescent="0.35">
      <c r="A815" s="252" t="s">
        <v>965</v>
      </c>
      <c r="B815" s="252" t="s">
        <v>1058</v>
      </c>
      <c r="C815" s="252" t="s">
        <v>981</v>
      </c>
      <c r="D815" s="252" t="s">
        <v>981</v>
      </c>
      <c r="E815" s="252">
        <v>1</v>
      </c>
      <c r="F815" s="252">
        <v>0</v>
      </c>
    </row>
    <row r="816" spans="1:6" x14ac:dyDescent="0.35">
      <c r="A816" s="252" t="s">
        <v>965</v>
      </c>
      <c r="B816" s="252" t="s">
        <v>1058</v>
      </c>
      <c r="C816" s="252" t="s">
        <v>1111</v>
      </c>
      <c r="D816" s="252" t="s">
        <v>1111</v>
      </c>
      <c r="E816" s="252">
        <v>1</v>
      </c>
      <c r="F816" s="252">
        <v>0</v>
      </c>
    </row>
    <row r="817" spans="1:6" x14ac:dyDescent="0.35">
      <c r="A817" s="252" t="s">
        <v>965</v>
      </c>
      <c r="B817" s="252" t="s">
        <v>1058</v>
      </c>
      <c r="C817" s="252" t="s">
        <v>1123</v>
      </c>
      <c r="D817" s="252" t="s">
        <v>1123</v>
      </c>
      <c r="E817" s="252">
        <v>1</v>
      </c>
      <c r="F817" s="252">
        <v>0</v>
      </c>
    </row>
    <row r="818" spans="1:6" x14ac:dyDescent="0.35">
      <c r="A818" s="252" t="s">
        <v>965</v>
      </c>
      <c r="B818" s="252" t="s">
        <v>1058</v>
      </c>
      <c r="C818" s="252" t="s">
        <v>1127</v>
      </c>
      <c r="D818" s="252" t="s">
        <v>1127</v>
      </c>
      <c r="E818" s="252">
        <v>1</v>
      </c>
      <c r="F818" s="252">
        <v>0</v>
      </c>
    </row>
    <row r="819" spans="1:6" x14ac:dyDescent="0.35">
      <c r="A819" s="252" t="s">
        <v>965</v>
      </c>
      <c r="B819" s="252" t="s">
        <v>1030</v>
      </c>
      <c r="C819" s="252">
        <v>5762</v>
      </c>
      <c r="D819" s="252" t="s">
        <v>1125</v>
      </c>
      <c r="E819" s="252">
        <v>1</v>
      </c>
      <c r="F819" s="252">
        <v>0</v>
      </c>
    </row>
    <row r="820" spans="1:6" x14ac:dyDescent="0.35">
      <c r="A820" s="252" t="s">
        <v>965</v>
      </c>
      <c r="B820" s="252" t="s">
        <v>1030</v>
      </c>
      <c r="C820" s="252" t="s">
        <v>1175</v>
      </c>
      <c r="D820" s="252" t="s">
        <v>1175</v>
      </c>
      <c r="E820" s="252">
        <v>1</v>
      </c>
      <c r="F820" s="252">
        <v>0</v>
      </c>
    </row>
    <row r="821" spans="1:6" x14ac:dyDescent="0.35">
      <c r="A821" s="252" t="s">
        <v>965</v>
      </c>
      <c r="B821" s="252" t="s">
        <v>992</v>
      </c>
      <c r="C821" s="252">
        <v>2684</v>
      </c>
      <c r="D821" s="252" t="s">
        <v>1114</v>
      </c>
      <c r="E821" s="252">
        <v>1</v>
      </c>
      <c r="F821" s="252">
        <v>0</v>
      </c>
    </row>
    <row r="822" spans="1:6" x14ac:dyDescent="0.35">
      <c r="A822" s="252" t="s">
        <v>965</v>
      </c>
      <c r="B822" s="252" t="s">
        <v>992</v>
      </c>
      <c r="C822" s="252">
        <v>4030</v>
      </c>
      <c r="D822" s="252" t="s">
        <v>1152</v>
      </c>
      <c r="E822" s="252">
        <v>1</v>
      </c>
      <c r="F822" s="252">
        <v>0</v>
      </c>
    </row>
    <row r="823" spans="1:6" x14ac:dyDescent="0.35">
      <c r="A823" s="252" t="s">
        <v>965</v>
      </c>
      <c r="B823" s="252" t="s">
        <v>992</v>
      </c>
      <c r="C823" s="252">
        <v>5762</v>
      </c>
      <c r="D823" s="252" t="s">
        <v>1125</v>
      </c>
      <c r="E823" s="252">
        <v>1</v>
      </c>
      <c r="F823" s="252">
        <v>0</v>
      </c>
    </row>
    <row r="824" spans="1:6" x14ac:dyDescent="0.35">
      <c r="A824" s="252" t="s">
        <v>965</v>
      </c>
      <c r="B824" s="252" t="s">
        <v>992</v>
      </c>
      <c r="C824" s="252" t="s">
        <v>1172</v>
      </c>
      <c r="D824" s="252" t="s">
        <v>1172</v>
      </c>
      <c r="E824" s="252">
        <v>1</v>
      </c>
      <c r="F824" s="252">
        <v>0</v>
      </c>
    </row>
    <row r="825" spans="1:6" x14ac:dyDescent="0.35">
      <c r="A825" s="252" t="s">
        <v>965</v>
      </c>
      <c r="B825" s="252" t="s">
        <v>992</v>
      </c>
      <c r="C825" s="252" t="s">
        <v>1168</v>
      </c>
      <c r="D825" s="252" t="s">
        <v>1168</v>
      </c>
      <c r="E825" s="252">
        <v>1</v>
      </c>
      <c r="F825" s="252">
        <v>0</v>
      </c>
    </row>
    <row r="826" spans="1:6" x14ac:dyDescent="0.35">
      <c r="A826" s="252" t="s">
        <v>965</v>
      </c>
      <c r="B826" s="252" t="s">
        <v>992</v>
      </c>
      <c r="C826" s="252" t="s">
        <v>1183</v>
      </c>
      <c r="D826" s="252" t="s">
        <v>1183</v>
      </c>
      <c r="E826" s="252">
        <v>1</v>
      </c>
      <c r="F826" s="252">
        <v>0</v>
      </c>
    </row>
    <row r="827" spans="1:6" x14ac:dyDescent="0.35">
      <c r="A827" s="252" t="s">
        <v>965</v>
      </c>
      <c r="B827" s="252" t="s">
        <v>992</v>
      </c>
      <c r="C827" s="252" t="s">
        <v>1184</v>
      </c>
      <c r="D827" s="252" t="s">
        <v>1184</v>
      </c>
      <c r="E827" s="252">
        <v>1</v>
      </c>
      <c r="F827" s="252">
        <v>0</v>
      </c>
    </row>
    <row r="828" spans="1:6" x14ac:dyDescent="0.35">
      <c r="A828" s="252" t="s">
        <v>965</v>
      </c>
      <c r="B828" s="252" t="s">
        <v>992</v>
      </c>
      <c r="C828" s="252" t="s">
        <v>1121</v>
      </c>
      <c r="D828" s="252" t="s">
        <v>1121</v>
      </c>
      <c r="E828" s="252">
        <v>1</v>
      </c>
      <c r="F828" s="252">
        <v>0</v>
      </c>
    </row>
    <row r="829" spans="1:6" x14ac:dyDescent="0.35">
      <c r="A829" s="252" t="s">
        <v>965</v>
      </c>
      <c r="B829" s="252" t="s">
        <v>992</v>
      </c>
      <c r="C829" s="252" t="s">
        <v>3505</v>
      </c>
      <c r="D829" s="252" t="s">
        <v>3505</v>
      </c>
      <c r="E829" s="252">
        <v>1</v>
      </c>
      <c r="F829" s="252">
        <v>0</v>
      </c>
    </row>
    <row r="830" spans="1:6" x14ac:dyDescent="0.35">
      <c r="A830" s="252" t="s">
        <v>965</v>
      </c>
      <c r="B830" s="252" t="s">
        <v>992</v>
      </c>
      <c r="C830" s="252" t="s">
        <v>1125</v>
      </c>
      <c r="D830" s="252" t="s">
        <v>1125</v>
      </c>
      <c r="E830" s="252">
        <v>1</v>
      </c>
      <c r="F830" s="252">
        <v>0</v>
      </c>
    </row>
    <row r="831" spans="1:6" x14ac:dyDescent="0.35">
      <c r="A831" s="252" t="s">
        <v>965</v>
      </c>
      <c r="B831" s="252" t="s">
        <v>1014</v>
      </c>
      <c r="C831" s="252" t="s">
        <v>1129</v>
      </c>
      <c r="D831" s="252" t="s">
        <v>1129</v>
      </c>
      <c r="E831" s="252">
        <v>1</v>
      </c>
      <c r="F831" s="252">
        <v>0</v>
      </c>
    </row>
    <row r="832" spans="1:6" x14ac:dyDescent="0.35">
      <c r="A832" s="252" t="s">
        <v>965</v>
      </c>
      <c r="B832" s="252" t="s">
        <v>968</v>
      </c>
      <c r="C832" s="252" t="s">
        <v>1171</v>
      </c>
      <c r="D832" s="252" t="s">
        <v>1171</v>
      </c>
      <c r="E832" s="252">
        <v>1</v>
      </c>
      <c r="F832" s="252">
        <v>0</v>
      </c>
    </row>
    <row r="833" spans="1:6" x14ac:dyDescent="0.35">
      <c r="A833" s="252" t="s">
        <v>965</v>
      </c>
      <c r="B833" s="252" t="s">
        <v>968</v>
      </c>
      <c r="C833" s="252" t="s">
        <v>1127</v>
      </c>
      <c r="D833" s="252" t="s">
        <v>1127</v>
      </c>
      <c r="E833" s="252">
        <v>1</v>
      </c>
      <c r="F833" s="252">
        <v>0</v>
      </c>
    </row>
    <row r="834" spans="1:6" x14ac:dyDescent="0.35">
      <c r="A834" s="252" t="s">
        <v>965</v>
      </c>
      <c r="B834" s="252" t="s">
        <v>3499</v>
      </c>
      <c r="C834" s="252" t="s">
        <v>1215</v>
      </c>
      <c r="D834" s="252" t="s">
        <v>1215</v>
      </c>
      <c r="E834" s="252">
        <v>1</v>
      </c>
      <c r="F834" s="252">
        <v>0</v>
      </c>
    </row>
    <row r="835" spans="1:6" x14ac:dyDescent="0.35">
      <c r="A835" s="252" t="s">
        <v>1220</v>
      </c>
      <c r="B835" s="252" t="s">
        <v>1059</v>
      </c>
      <c r="C835" s="252">
        <v>3085</v>
      </c>
      <c r="D835" s="252" t="s">
        <v>1211</v>
      </c>
      <c r="E835" s="252">
        <v>1</v>
      </c>
      <c r="F835" s="252">
        <v>0</v>
      </c>
    </row>
    <row r="836" spans="1:6" x14ac:dyDescent="0.35">
      <c r="A836" s="252" t="s">
        <v>1220</v>
      </c>
      <c r="B836" s="252" t="s">
        <v>1033</v>
      </c>
      <c r="C836" s="252" t="s">
        <v>1185</v>
      </c>
      <c r="D836" s="252" t="s">
        <v>1185</v>
      </c>
      <c r="E836" s="252">
        <v>1</v>
      </c>
      <c r="F836" s="252">
        <v>0</v>
      </c>
    </row>
    <row r="837" spans="1:6" x14ac:dyDescent="0.35">
      <c r="A837" s="252" t="s">
        <v>1220</v>
      </c>
      <c r="B837" s="252" t="s">
        <v>1033</v>
      </c>
      <c r="C837" s="252" t="s">
        <v>1188</v>
      </c>
      <c r="D837" s="252" t="s">
        <v>1188</v>
      </c>
      <c r="E837" s="252">
        <v>1</v>
      </c>
      <c r="F837" s="252">
        <v>0</v>
      </c>
    </row>
    <row r="838" spans="1:6" x14ac:dyDescent="0.35">
      <c r="A838" s="252" t="s">
        <v>1220</v>
      </c>
      <c r="B838" s="252" t="s">
        <v>1033</v>
      </c>
      <c r="C838" s="252" t="s">
        <v>1115</v>
      </c>
      <c r="D838" s="252" t="s">
        <v>1115</v>
      </c>
      <c r="E838" s="252">
        <v>1</v>
      </c>
      <c r="F838" s="252">
        <v>0</v>
      </c>
    </row>
    <row r="839" spans="1:6" x14ac:dyDescent="0.35">
      <c r="A839" s="252" t="s">
        <v>1220</v>
      </c>
      <c r="B839" s="252" t="s">
        <v>1033</v>
      </c>
      <c r="C839" s="252" t="s">
        <v>1110</v>
      </c>
      <c r="D839" s="252" t="s">
        <v>1110</v>
      </c>
      <c r="E839" s="252">
        <v>1</v>
      </c>
      <c r="F839" s="252">
        <v>0</v>
      </c>
    </row>
    <row r="840" spans="1:6" x14ac:dyDescent="0.35">
      <c r="A840" s="252" t="s">
        <v>1220</v>
      </c>
      <c r="B840" s="252" t="s">
        <v>1068</v>
      </c>
      <c r="C840" s="252" t="s">
        <v>1188</v>
      </c>
      <c r="D840" s="252" t="s">
        <v>1188</v>
      </c>
      <c r="E840" s="252">
        <v>1</v>
      </c>
      <c r="F840" s="252">
        <v>0</v>
      </c>
    </row>
    <row r="841" spans="1:6" x14ac:dyDescent="0.35">
      <c r="A841" s="252" t="s">
        <v>964</v>
      </c>
      <c r="B841" s="252" t="s">
        <v>986</v>
      </c>
      <c r="C841" s="252">
        <v>1705</v>
      </c>
      <c r="D841" s="252" t="s">
        <v>1189</v>
      </c>
      <c r="E841" s="252">
        <v>1</v>
      </c>
      <c r="F841" s="252">
        <v>0</v>
      </c>
    </row>
    <row r="842" spans="1:6" x14ac:dyDescent="0.35">
      <c r="A842" s="252" t="s">
        <v>964</v>
      </c>
      <c r="B842" s="252" t="s">
        <v>1006</v>
      </c>
      <c r="C842" s="252">
        <v>2660</v>
      </c>
      <c r="D842" s="252" t="s">
        <v>1204</v>
      </c>
      <c r="E842" s="252">
        <v>1</v>
      </c>
      <c r="F842" s="252">
        <v>0</v>
      </c>
    </row>
    <row r="843" spans="1:6" x14ac:dyDescent="0.35">
      <c r="A843" s="252" t="s">
        <v>964</v>
      </c>
      <c r="B843" s="252" t="s">
        <v>1006</v>
      </c>
      <c r="C843" s="252">
        <v>2692</v>
      </c>
      <c r="D843" s="252" t="s">
        <v>1212</v>
      </c>
      <c r="E843" s="252">
        <v>1</v>
      </c>
      <c r="F843" s="252">
        <v>0</v>
      </c>
    </row>
    <row r="844" spans="1:6" x14ac:dyDescent="0.35">
      <c r="A844" s="252" t="s">
        <v>964</v>
      </c>
      <c r="B844" s="252" t="s">
        <v>1006</v>
      </c>
      <c r="C844" s="252" t="s">
        <v>1172</v>
      </c>
      <c r="D844" s="252" t="s">
        <v>1172</v>
      </c>
      <c r="E844" s="252">
        <v>1</v>
      </c>
      <c r="F844" s="252">
        <v>0</v>
      </c>
    </row>
    <row r="845" spans="1:6" x14ac:dyDescent="0.35">
      <c r="A845" s="252" t="s">
        <v>964</v>
      </c>
      <c r="B845" s="252" t="s">
        <v>1006</v>
      </c>
      <c r="C845" s="252">
        <v>105</v>
      </c>
      <c r="D845" s="252" t="s">
        <v>1139</v>
      </c>
      <c r="E845" s="252">
        <v>1</v>
      </c>
      <c r="F845" s="252">
        <v>0</v>
      </c>
    </row>
    <row r="846" spans="1:6" x14ac:dyDescent="0.35">
      <c r="A846" s="252" t="s">
        <v>964</v>
      </c>
      <c r="B846" s="252" t="s">
        <v>1006</v>
      </c>
      <c r="C846" s="252" t="s">
        <v>1217</v>
      </c>
      <c r="D846" s="252" t="s">
        <v>1217</v>
      </c>
      <c r="E846" s="252">
        <v>1</v>
      </c>
      <c r="F846" s="252">
        <v>0</v>
      </c>
    </row>
    <row r="847" spans="1:6" x14ac:dyDescent="0.35">
      <c r="A847" s="252" t="s">
        <v>964</v>
      </c>
      <c r="B847" s="252" t="s">
        <v>1006</v>
      </c>
      <c r="C847" s="252">
        <v>1709</v>
      </c>
      <c r="D847" s="252" t="s">
        <v>1167</v>
      </c>
      <c r="E847" s="252">
        <v>1</v>
      </c>
      <c r="F847" s="252">
        <v>0</v>
      </c>
    </row>
    <row r="848" spans="1:6" x14ac:dyDescent="0.35">
      <c r="A848" s="252" t="s">
        <v>964</v>
      </c>
      <c r="B848" s="252" t="s">
        <v>1006</v>
      </c>
      <c r="C848" s="252" t="s">
        <v>1158</v>
      </c>
      <c r="D848" s="252" t="s">
        <v>1158</v>
      </c>
      <c r="E848" s="252">
        <v>1</v>
      </c>
      <c r="F848" s="252">
        <v>0</v>
      </c>
    </row>
    <row r="849" spans="1:6" x14ac:dyDescent="0.35">
      <c r="A849" s="252" t="s">
        <v>964</v>
      </c>
      <c r="B849" s="252" t="s">
        <v>1006</v>
      </c>
      <c r="C849" s="252">
        <v>703</v>
      </c>
      <c r="D849" s="252" t="s">
        <v>1174</v>
      </c>
      <c r="E849" s="252">
        <v>1</v>
      </c>
      <c r="F849" s="252">
        <v>0</v>
      </c>
    </row>
    <row r="850" spans="1:6" x14ac:dyDescent="0.35">
      <c r="A850" s="252" t="s">
        <v>964</v>
      </c>
      <c r="B850" s="252" t="s">
        <v>1006</v>
      </c>
      <c r="C850" s="252">
        <v>710</v>
      </c>
      <c r="D850" s="252" t="s">
        <v>3505</v>
      </c>
      <c r="E850" s="252">
        <v>1</v>
      </c>
      <c r="F850" s="252">
        <v>0</v>
      </c>
    </row>
    <row r="851" spans="1:6" x14ac:dyDescent="0.35">
      <c r="A851" s="252" t="s">
        <v>964</v>
      </c>
      <c r="B851" s="252" t="s">
        <v>1006</v>
      </c>
      <c r="C851" s="252" t="s">
        <v>3500</v>
      </c>
      <c r="D851" s="252" t="s">
        <v>1163</v>
      </c>
      <c r="E851" s="252">
        <v>1</v>
      </c>
      <c r="F851" s="252">
        <v>0</v>
      </c>
    </row>
    <row r="852" spans="1:6" x14ac:dyDescent="0.35">
      <c r="A852" s="252" t="s">
        <v>964</v>
      </c>
      <c r="B852" s="252" t="s">
        <v>1083</v>
      </c>
      <c r="C852" s="252" t="s">
        <v>1162</v>
      </c>
      <c r="D852" s="252" t="s">
        <v>1162</v>
      </c>
      <c r="E852" s="252">
        <v>1</v>
      </c>
      <c r="F852" s="252">
        <v>0</v>
      </c>
    </row>
    <row r="853" spans="1:6" x14ac:dyDescent="0.35">
      <c r="A853" s="252" t="s">
        <v>964</v>
      </c>
      <c r="B853" s="252" t="s">
        <v>1083</v>
      </c>
      <c r="C853" s="252" t="s">
        <v>1210</v>
      </c>
      <c r="D853" s="252" t="s">
        <v>1210</v>
      </c>
      <c r="E853" s="252">
        <v>1</v>
      </c>
      <c r="F853" s="252">
        <v>0</v>
      </c>
    </row>
    <row r="854" spans="1:6" x14ac:dyDescent="0.35">
      <c r="A854" s="252" t="s">
        <v>964</v>
      </c>
      <c r="B854" s="252" t="s">
        <v>1083</v>
      </c>
      <c r="C854" s="252" t="s">
        <v>1174</v>
      </c>
      <c r="D854" s="252" t="s">
        <v>1174</v>
      </c>
      <c r="E854" s="252">
        <v>1</v>
      </c>
      <c r="F854" s="252">
        <v>0</v>
      </c>
    </row>
    <row r="855" spans="1:6" x14ac:dyDescent="0.35">
      <c r="A855" s="252" t="s">
        <v>964</v>
      </c>
      <c r="B855" s="252" t="s">
        <v>1015</v>
      </c>
      <c r="C855" s="252">
        <v>5762</v>
      </c>
      <c r="D855" s="252" t="s">
        <v>1125</v>
      </c>
      <c r="E855" s="252">
        <v>1</v>
      </c>
      <c r="F855" s="252">
        <v>0</v>
      </c>
    </row>
    <row r="856" spans="1:6" x14ac:dyDescent="0.35">
      <c r="A856" s="252" t="s">
        <v>964</v>
      </c>
      <c r="B856" s="252" t="s">
        <v>1015</v>
      </c>
      <c r="C856" s="252" t="s">
        <v>1139</v>
      </c>
      <c r="D856" s="252" t="s">
        <v>1139</v>
      </c>
      <c r="E856" s="252">
        <v>1</v>
      </c>
      <c r="F856" s="252">
        <v>0</v>
      </c>
    </row>
    <row r="857" spans="1:6" x14ac:dyDescent="0.35">
      <c r="A857" s="252" t="s">
        <v>964</v>
      </c>
      <c r="B857" s="252" t="s">
        <v>1015</v>
      </c>
      <c r="C857" s="252">
        <v>1005</v>
      </c>
      <c r="D857" s="252" t="s">
        <v>1172</v>
      </c>
      <c r="E857" s="252">
        <v>1</v>
      </c>
      <c r="F857" s="252">
        <v>0</v>
      </c>
    </row>
    <row r="858" spans="1:6" x14ac:dyDescent="0.35">
      <c r="A858" s="252" t="s">
        <v>964</v>
      </c>
      <c r="B858" s="252" t="s">
        <v>1015</v>
      </c>
      <c r="C858" s="252">
        <v>1006</v>
      </c>
      <c r="D858" s="252" t="s">
        <v>1188</v>
      </c>
      <c r="E858" s="252">
        <v>1</v>
      </c>
      <c r="F858" s="252">
        <v>0</v>
      </c>
    </row>
    <row r="859" spans="1:6" x14ac:dyDescent="0.35">
      <c r="A859" s="252" t="s">
        <v>964</v>
      </c>
      <c r="B859" s="252" t="s">
        <v>1015</v>
      </c>
      <c r="C859" s="252" t="s">
        <v>1210</v>
      </c>
      <c r="D859" s="252" t="s">
        <v>1163</v>
      </c>
      <c r="E859" s="252">
        <v>1</v>
      </c>
      <c r="F859" s="252">
        <v>0</v>
      </c>
    </row>
    <row r="860" spans="1:6" x14ac:dyDescent="0.35">
      <c r="A860" s="252" t="s">
        <v>964</v>
      </c>
      <c r="B860" s="252" t="s">
        <v>1015</v>
      </c>
      <c r="C860" s="252" t="s">
        <v>1206</v>
      </c>
      <c r="D860" s="252" t="s">
        <v>1206</v>
      </c>
      <c r="E860" s="252">
        <v>1</v>
      </c>
      <c r="F860" s="252">
        <v>0</v>
      </c>
    </row>
    <row r="861" spans="1:6" x14ac:dyDescent="0.35">
      <c r="A861" s="252" t="s">
        <v>964</v>
      </c>
      <c r="B861" s="252" t="s">
        <v>1028</v>
      </c>
      <c r="C861" s="252">
        <v>5762</v>
      </c>
      <c r="D861" s="252" t="s">
        <v>1125</v>
      </c>
      <c r="E861" s="252">
        <v>1</v>
      </c>
      <c r="F861" s="252">
        <v>0</v>
      </c>
    </row>
    <row r="862" spans="1:6" x14ac:dyDescent="0.35">
      <c r="A862" s="252" t="s">
        <v>964</v>
      </c>
      <c r="B862" s="252" t="s">
        <v>1028</v>
      </c>
      <c r="C862" s="252">
        <v>7161</v>
      </c>
      <c r="D862" s="252" t="s">
        <v>3508</v>
      </c>
      <c r="E862" s="252">
        <v>1</v>
      </c>
      <c r="F862" s="252">
        <v>0</v>
      </c>
    </row>
    <row r="863" spans="1:6" x14ac:dyDescent="0.35">
      <c r="A863" s="252" t="s">
        <v>964</v>
      </c>
      <c r="B863" s="252" t="s">
        <v>1028</v>
      </c>
      <c r="C863" s="252" t="s">
        <v>1163</v>
      </c>
      <c r="D863" s="252" t="s">
        <v>1163</v>
      </c>
      <c r="E863" s="252">
        <v>1</v>
      </c>
      <c r="F863" s="252">
        <v>0</v>
      </c>
    </row>
    <row r="864" spans="1:6" x14ac:dyDescent="0.35">
      <c r="A864" s="252" t="s">
        <v>964</v>
      </c>
      <c r="B864" s="252" t="s">
        <v>1028</v>
      </c>
      <c r="C864" s="252" t="s">
        <v>1110</v>
      </c>
      <c r="D864" s="252" t="s">
        <v>1110</v>
      </c>
      <c r="E864" s="252">
        <v>1</v>
      </c>
      <c r="F864" s="252">
        <v>0</v>
      </c>
    </row>
    <row r="865" spans="1:6" x14ac:dyDescent="0.35">
      <c r="A865" s="252" t="s">
        <v>964</v>
      </c>
      <c r="B865" s="252" t="s">
        <v>999</v>
      </c>
      <c r="C865" s="252" t="s">
        <v>1204</v>
      </c>
      <c r="D865" s="252" t="s">
        <v>1204</v>
      </c>
      <c r="E865" s="252">
        <v>1</v>
      </c>
      <c r="F865" s="252">
        <v>0</v>
      </c>
    </row>
    <row r="866" spans="1:6" x14ac:dyDescent="0.35">
      <c r="A866" s="252" t="s">
        <v>964</v>
      </c>
      <c r="B866" s="252" t="s">
        <v>1034</v>
      </c>
      <c r="C866" s="252" t="s">
        <v>1210</v>
      </c>
      <c r="D866" s="252" t="s">
        <v>1210</v>
      </c>
      <c r="E866" s="252">
        <v>1</v>
      </c>
      <c r="F866" s="252">
        <v>0</v>
      </c>
    </row>
    <row r="867" spans="1:6" x14ac:dyDescent="0.35">
      <c r="A867" s="252" t="s">
        <v>964</v>
      </c>
      <c r="B867" s="252" t="s">
        <v>1034</v>
      </c>
      <c r="C867" s="252" t="s">
        <v>1167</v>
      </c>
      <c r="D867" s="252" t="s">
        <v>1167</v>
      </c>
      <c r="E867" s="252">
        <v>1</v>
      </c>
      <c r="F867" s="252">
        <v>0</v>
      </c>
    </row>
    <row r="868" spans="1:6" x14ac:dyDescent="0.35">
      <c r="A868" s="252" t="s">
        <v>964</v>
      </c>
      <c r="B868" s="252" t="s">
        <v>1031</v>
      </c>
      <c r="C868" s="252" t="s">
        <v>1210</v>
      </c>
      <c r="D868" s="252" t="s">
        <v>1163</v>
      </c>
      <c r="E868" s="252">
        <v>1</v>
      </c>
      <c r="F868" s="252">
        <v>0</v>
      </c>
    </row>
    <row r="869" spans="1:6" x14ac:dyDescent="0.35">
      <c r="A869" s="252" t="s">
        <v>964</v>
      </c>
      <c r="B869" s="252" t="s">
        <v>973</v>
      </c>
      <c r="C869" s="252">
        <v>5762</v>
      </c>
      <c r="D869" s="252" t="s">
        <v>1125</v>
      </c>
      <c r="E869" s="252">
        <v>1</v>
      </c>
      <c r="F869" s="252">
        <v>0</v>
      </c>
    </row>
    <row r="870" spans="1:6" x14ac:dyDescent="0.35">
      <c r="A870" s="252" t="s">
        <v>964</v>
      </c>
      <c r="B870" s="252" t="s">
        <v>973</v>
      </c>
      <c r="C870" s="252">
        <v>160104</v>
      </c>
      <c r="D870" s="252" t="s">
        <v>1219</v>
      </c>
      <c r="E870" s="252">
        <v>1</v>
      </c>
      <c r="F870" s="252">
        <v>0</v>
      </c>
    </row>
    <row r="871" spans="1:6" x14ac:dyDescent="0.35">
      <c r="A871" s="252" t="s">
        <v>964</v>
      </c>
      <c r="B871" s="252" t="s">
        <v>973</v>
      </c>
      <c r="C871" s="252" t="s">
        <v>1175</v>
      </c>
      <c r="D871" s="252" t="s">
        <v>1175</v>
      </c>
      <c r="E871" s="252">
        <v>1</v>
      </c>
      <c r="F871" s="252">
        <v>0</v>
      </c>
    </row>
    <row r="872" spans="1:6" x14ac:dyDescent="0.35">
      <c r="A872" s="252" t="s">
        <v>964</v>
      </c>
      <c r="B872" s="252" t="s">
        <v>973</v>
      </c>
      <c r="C872" s="252" t="s">
        <v>1125</v>
      </c>
      <c r="D872" s="252" t="s">
        <v>1125</v>
      </c>
      <c r="E872" s="252">
        <v>1</v>
      </c>
      <c r="F872" s="252">
        <v>0</v>
      </c>
    </row>
    <row r="873" spans="1:6" x14ac:dyDescent="0.35">
      <c r="A873" s="252" t="s">
        <v>964</v>
      </c>
      <c r="B873" s="252" t="s">
        <v>973</v>
      </c>
      <c r="C873" s="252">
        <v>802</v>
      </c>
      <c r="D873" s="252" t="s">
        <v>1125</v>
      </c>
      <c r="E873" s="252">
        <v>1</v>
      </c>
      <c r="F873" s="252">
        <v>0</v>
      </c>
    </row>
    <row r="874" spans="1:6" x14ac:dyDescent="0.35">
      <c r="A874" s="252" t="s">
        <v>964</v>
      </c>
      <c r="B874" s="252" t="s">
        <v>1048</v>
      </c>
      <c r="C874" s="252">
        <v>2461</v>
      </c>
      <c r="D874" s="252" t="s">
        <v>1119</v>
      </c>
      <c r="E874" s="252">
        <v>1</v>
      </c>
      <c r="F874" s="252">
        <v>0</v>
      </c>
    </row>
    <row r="875" spans="1:6" x14ac:dyDescent="0.35">
      <c r="A875" s="252" t="s">
        <v>964</v>
      </c>
      <c r="B875" s="252" t="s">
        <v>1090</v>
      </c>
      <c r="C875" s="252" t="s">
        <v>1215</v>
      </c>
      <c r="D875" s="252" t="s">
        <v>1215</v>
      </c>
      <c r="E875" s="252">
        <v>1</v>
      </c>
      <c r="F875" s="252">
        <v>0</v>
      </c>
    </row>
    <row r="876" spans="1:6" x14ac:dyDescent="0.35">
      <c r="A876" s="252" t="s">
        <v>964</v>
      </c>
      <c r="B876" s="252" t="s">
        <v>1039</v>
      </c>
      <c r="C876" s="252" t="s">
        <v>1210</v>
      </c>
      <c r="D876" s="252" t="s">
        <v>1163</v>
      </c>
      <c r="E876" s="252">
        <v>1</v>
      </c>
      <c r="F876" s="252">
        <v>0</v>
      </c>
    </row>
    <row r="877" spans="1:6" x14ac:dyDescent="0.35">
      <c r="A877" s="252" t="s">
        <v>964</v>
      </c>
      <c r="B877" s="252" t="s">
        <v>1085</v>
      </c>
      <c r="C877" s="252" t="s">
        <v>1163</v>
      </c>
      <c r="D877" s="252" t="s">
        <v>1163</v>
      </c>
      <c r="E877" s="252">
        <v>1</v>
      </c>
      <c r="F877" s="252">
        <v>0</v>
      </c>
    </row>
    <row r="878" spans="1:6" x14ac:dyDescent="0.35">
      <c r="A878" s="252" t="s">
        <v>964</v>
      </c>
      <c r="B878" s="252" t="s">
        <v>1085</v>
      </c>
      <c r="C878" s="252" t="s">
        <v>1153</v>
      </c>
      <c r="D878" s="252" t="s">
        <v>1153</v>
      </c>
      <c r="E878" s="252">
        <v>1</v>
      </c>
      <c r="F878" s="252">
        <v>0</v>
      </c>
    </row>
    <row r="879" spans="1:6" x14ac:dyDescent="0.35">
      <c r="A879" s="252" t="s">
        <v>964</v>
      </c>
      <c r="B879" s="252" t="s">
        <v>1001</v>
      </c>
      <c r="C879" s="252">
        <v>5762</v>
      </c>
      <c r="D879" s="252" t="s">
        <v>1125</v>
      </c>
      <c r="E879" s="252">
        <v>1</v>
      </c>
      <c r="F879" s="252">
        <v>0</v>
      </c>
    </row>
    <row r="880" spans="1:6" x14ac:dyDescent="0.35">
      <c r="A880" s="252" t="s">
        <v>964</v>
      </c>
      <c r="B880" s="252" t="s">
        <v>1001</v>
      </c>
      <c r="C880" s="252" t="s">
        <v>3509</v>
      </c>
      <c r="D880" s="252" t="s">
        <v>3509</v>
      </c>
      <c r="E880" s="252">
        <v>1</v>
      </c>
      <c r="F880" s="252">
        <v>0</v>
      </c>
    </row>
    <row r="881" spans="1:6" x14ac:dyDescent="0.35">
      <c r="A881" s="252" t="s">
        <v>964</v>
      </c>
      <c r="B881" s="252" t="s">
        <v>1001</v>
      </c>
      <c r="C881" s="252" t="s">
        <v>1125</v>
      </c>
      <c r="D881" s="252" t="s">
        <v>1125</v>
      </c>
      <c r="E881" s="252">
        <v>1</v>
      </c>
      <c r="F881" s="252">
        <v>0</v>
      </c>
    </row>
    <row r="882" spans="1:6" x14ac:dyDescent="0.35">
      <c r="A882" s="252" t="s">
        <v>964</v>
      </c>
      <c r="B882" s="252" t="s">
        <v>994</v>
      </c>
      <c r="C882" s="252" t="s">
        <v>1218</v>
      </c>
      <c r="D882" s="252" t="s">
        <v>1218</v>
      </c>
      <c r="E882" s="252">
        <v>1</v>
      </c>
      <c r="F882" s="252">
        <v>0</v>
      </c>
    </row>
    <row r="883" spans="1:6" x14ac:dyDescent="0.35">
      <c r="A883" s="252" t="s">
        <v>964</v>
      </c>
      <c r="B883" s="252" t="s">
        <v>994</v>
      </c>
      <c r="C883" s="252" t="s">
        <v>1153</v>
      </c>
      <c r="D883" s="252" t="s">
        <v>1153</v>
      </c>
      <c r="E883" s="252">
        <v>1</v>
      </c>
      <c r="F883" s="252">
        <v>0</v>
      </c>
    </row>
    <row r="884" spans="1:6" x14ac:dyDescent="0.35">
      <c r="A884" s="252" t="s">
        <v>964</v>
      </c>
      <c r="B884" s="252" t="s">
        <v>994</v>
      </c>
      <c r="C884" s="252" t="s">
        <v>1167</v>
      </c>
      <c r="D884" s="252" t="s">
        <v>1167</v>
      </c>
      <c r="E884" s="252">
        <v>1</v>
      </c>
      <c r="F884" s="252">
        <v>0</v>
      </c>
    </row>
    <row r="885" spans="1:6" x14ac:dyDescent="0.35">
      <c r="A885" s="252" t="s">
        <v>964</v>
      </c>
      <c r="B885" s="252" t="s">
        <v>994</v>
      </c>
      <c r="C885" s="252" t="s">
        <v>1141</v>
      </c>
      <c r="D885" s="252" t="s">
        <v>1141</v>
      </c>
      <c r="E885" s="252">
        <v>1</v>
      </c>
      <c r="F885" s="252">
        <v>0</v>
      </c>
    </row>
    <row r="886" spans="1:6" x14ac:dyDescent="0.35">
      <c r="A886" s="252" t="s">
        <v>964</v>
      </c>
      <c r="B886" s="252" t="s">
        <v>1000</v>
      </c>
      <c r="C886" s="252" t="s">
        <v>1136</v>
      </c>
      <c r="D886" s="252" t="s">
        <v>1136</v>
      </c>
      <c r="E886" s="252">
        <v>1</v>
      </c>
      <c r="F886" s="252">
        <v>0</v>
      </c>
    </row>
    <row r="887" spans="1:6" x14ac:dyDescent="0.35">
      <c r="A887" s="252" t="s">
        <v>964</v>
      </c>
      <c r="B887" s="252" t="s">
        <v>1056</v>
      </c>
      <c r="C887" s="252" t="s">
        <v>1210</v>
      </c>
      <c r="D887" s="252" t="s">
        <v>1210</v>
      </c>
      <c r="E887" s="252">
        <v>1</v>
      </c>
      <c r="F887" s="252">
        <v>0</v>
      </c>
    </row>
    <row r="888" spans="1:6" x14ac:dyDescent="0.35">
      <c r="A888" s="252" t="s">
        <v>964</v>
      </c>
      <c r="B888" s="252" t="s">
        <v>1056</v>
      </c>
      <c r="C888" s="252">
        <v>1401</v>
      </c>
      <c r="D888" s="252" t="s">
        <v>1163</v>
      </c>
      <c r="E888" s="252">
        <v>1</v>
      </c>
      <c r="F888" s="252">
        <v>0</v>
      </c>
    </row>
    <row r="889" spans="1:6" x14ac:dyDescent="0.35">
      <c r="A889" s="252" t="s">
        <v>964</v>
      </c>
      <c r="B889" s="252" t="s">
        <v>1056</v>
      </c>
      <c r="C889" s="252" t="s">
        <v>1167</v>
      </c>
      <c r="D889" s="252" t="s">
        <v>1167</v>
      </c>
      <c r="E889" s="252">
        <v>1</v>
      </c>
      <c r="F889" s="252">
        <v>0</v>
      </c>
    </row>
    <row r="890" spans="1:6" x14ac:dyDescent="0.35">
      <c r="A890" s="252" t="s">
        <v>964</v>
      </c>
      <c r="B890" s="252" t="s">
        <v>989</v>
      </c>
      <c r="C890" s="252" t="s">
        <v>1129</v>
      </c>
      <c r="D890" s="252" t="s">
        <v>1129</v>
      </c>
      <c r="E890" s="252">
        <v>1</v>
      </c>
      <c r="F890" s="252">
        <v>0</v>
      </c>
    </row>
    <row r="891" spans="1:6" x14ac:dyDescent="0.35">
      <c r="A891" s="252" t="s">
        <v>964</v>
      </c>
      <c r="B891" s="252" t="s">
        <v>1051</v>
      </c>
      <c r="C891" s="252" t="s">
        <v>981</v>
      </c>
      <c r="D891" s="252" t="s">
        <v>981</v>
      </c>
      <c r="E891" s="252">
        <v>1</v>
      </c>
      <c r="F891" s="252">
        <v>0</v>
      </c>
    </row>
    <row r="892" spans="1:6" x14ac:dyDescent="0.35">
      <c r="A892" s="252" t="s">
        <v>964</v>
      </c>
      <c r="B892" s="252" t="s">
        <v>1051</v>
      </c>
      <c r="C892" s="252">
        <v>701</v>
      </c>
      <c r="D892" s="252" t="s">
        <v>1110</v>
      </c>
      <c r="E892" s="252">
        <v>1</v>
      </c>
      <c r="F892" s="252">
        <v>0</v>
      </c>
    </row>
    <row r="893" spans="1:6" x14ac:dyDescent="0.35">
      <c r="A893" s="252" t="s">
        <v>964</v>
      </c>
      <c r="B893" s="252" t="s">
        <v>1032</v>
      </c>
      <c r="C893" s="252" t="s">
        <v>1129</v>
      </c>
      <c r="D893" s="252" t="s">
        <v>1129</v>
      </c>
      <c r="E893" s="252">
        <v>1</v>
      </c>
      <c r="F893" s="252">
        <v>0</v>
      </c>
    </row>
    <row r="894" spans="1:6" x14ac:dyDescent="0.35">
      <c r="A894" s="252" t="s">
        <v>964</v>
      </c>
      <c r="B894" s="252" t="s">
        <v>1032</v>
      </c>
      <c r="C894" s="252">
        <v>1401</v>
      </c>
      <c r="D894" s="252" t="s">
        <v>1163</v>
      </c>
      <c r="E894" s="252">
        <v>1</v>
      </c>
      <c r="F894" s="252">
        <v>0</v>
      </c>
    </row>
    <row r="895" spans="1:6" x14ac:dyDescent="0.35">
      <c r="A895" s="252" t="s">
        <v>964</v>
      </c>
      <c r="B895" s="252" t="s">
        <v>1032</v>
      </c>
      <c r="C895" s="252" t="s">
        <v>1167</v>
      </c>
      <c r="D895" s="252" t="s">
        <v>1167</v>
      </c>
      <c r="E895" s="252">
        <v>1</v>
      </c>
      <c r="F895" s="252">
        <v>0</v>
      </c>
    </row>
    <row r="896" spans="1:6" x14ac:dyDescent="0.35">
      <c r="A896" s="252" t="s">
        <v>964</v>
      </c>
      <c r="B896" s="252" t="s">
        <v>1032</v>
      </c>
      <c r="C896" s="252" t="s">
        <v>1132</v>
      </c>
      <c r="D896" s="252" t="s">
        <v>1132</v>
      </c>
      <c r="E896" s="252">
        <v>1</v>
      </c>
      <c r="F896" s="252">
        <v>0</v>
      </c>
    </row>
    <row r="897" spans="1:6" x14ac:dyDescent="0.35">
      <c r="A897" s="252" t="s">
        <v>964</v>
      </c>
      <c r="B897" s="252" t="s">
        <v>1019</v>
      </c>
      <c r="C897" s="252" t="s">
        <v>1210</v>
      </c>
      <c r="D897" s="252" t="s">
        <v>1163</v>
      </c>
      <c r="E897" s="252">
        <v>1</v>
      </c>
      <c r="F897" s="252">
        <v>0</v>
      </c>
    </row>
    <row r="898" spans="1:6" x14ac:dyDescent="0.35">
      <c r="A898" s="252" t="s">
        <v>964</v>
      </c>
      <c r="B898" s="252" t="s">
        <v>1019</v>
      </c>
      <c r="C898" s="252" t="s">
        <v>1115</v>
      </c>
      <c r="D898" s="252" t="s">
        <v>1115</v>
      </c>
      <c r="E898" s="252">
        <v>1</v>
      </c>
      <c r="F898" s="252">
        <v>0</v>
      </c>
    </row>
    <row r="899" spans="1:6" x14ac:dyDescent="0.35">
      <c r="A899" s="252" t="s">
        <v>964</v>
      </c>
      <c r="B899" s="252" t="s">
        <v>1013</v>
      </c>
      <c r="C899" s="252" t="s">
        <v>1210</v>
      </c>
      <c r="D899" s="252" t="s">
        <v>1210</v>
      </c>
      <c r="E899" s="252">
        <v>1</v>
      </c>
      <c r="F899" s="252">
        <v>0</v>
      </c>
    </row>
    <row r="900" spans="1:6" x14ac:dyDescent="0.35">
      <c r="A900" s="252" t="s">
        <v>964</v>
      </c>
      <c r="B900" s="252" t="s">
        <v>985</v>
      </c>
      <c r="C900" s="252" t="s">
        <v>1134</v>
      </c>
      <c r="D900" s="252" t="s">
        <v>1134</v>
      </c>
      <c r="E900" s="252">
        <v>1</v>
      </c>
      <c r="F900" s="252">
        <v>0</v>
      </c>
    </row>
    <row r="901" spans="1:6" x14ac:dyDescent="0.35">
      <c r="A901" s="252" t="s">
        <v>964</v>
      </c>
      <c r="B901" s="252" t="s">
        <v>985</v>
      </c>
      <c r="C901" s="252" t="s">
        <v>1114</v>
      </c>
      <c r="D901" s="252" t="s">
        <v>1114</v>
      </c>
      <c r="E901" s="252">
        <v>1</v>
      </c>
      <c r="F901" s="252">
        <v>0</v>
      </c>
    </row>
    <row r="902" spans="1:6" x14ac:dyDescent="0.35">
      <c r="A902" s="252" t="s">
        <v>964</v>
      </c>
      <c r="B902" s="252" t="s">
        <v>985</v>
      </c>
      <c r="C902" s="252" t="s">
        <v>1176</v>
      </c>
      <c r="D902" s="252" t="s">
        <v>1176</v>
      </c>
      <c r="E902" s="252">
        <v>1</v>
      </c>
      <c r="F902" s="252">
        <v>0</v>
      </c>
    </row>
    <row r="903" spans="1:6" x14ac:dyDescent="0.35">
      <c r="A903" s="252" t="s">
        <v>964</v>
      </c>
      <c r="B903" s="252" t="s">
        <v>985</v>
      </c>
      <c r="C903" s="252" t="s">
        <v>1166</v>
      </c>
      <c r="D903" s="252" t="s">
        <v>1166</v>
      </c>
      <c r="E903" s="252">
        <v>1</v>
      </c>
      <c r="F903" s="252">
        <v>0</v>
      </c>
    </row>
    <row r="904" spans="1:6" x14ac:dyDescent="0.35">
      <c r="A904" s="252" t="s">
        <v>964</v>
      </c>
      <c r="B904" s="252" t="s">
        <v>985</v>
      </c>
      <c r="C904" s="252" t="s">
        <v>1210</v>
      </c>
      <c r="D904" s="252" t="s">
        <v>1210</v>
      </c>
      <c r="E904" s="252">
        <v>1</v>
      </c>
      <c r="F904" s="252">
        <v>0</v>
      </c>
    </row>
    <row r="905" spans="1:6" x14ac:dyDescent="0.35">
      <c r="A905" s="252" t="s">
        <v>964</v>
      </c>
      <c r="B905" s="252" t="s">
        <v>985</v>
      </c>
      <c r="C905" s="252" t="s">
        <v>1115</v>
      </c>
      <c r="D905" s="252" t="s">
        <v>1115</v>
      </c>
      <c r="E905" s="252">
        <v>1</v>
      </c>
      <c r="F905" s="252">
        <v>0</v>
      </c>
    </row>
    <row r="906" spans="1:6" x14ac:dyDescent="0.35">
      <c r="A906" s="252" t="s">
        <v>964</v>
      </c>
      <c r="B906" s="252" t="s">
        <v>985</v>
      </c>
      <c r="C906" s="252" t="s">
        <v>1144</v>
      </c>
      <c r="D906" s="252" t="s">
        <v>1144</v>
      </c>
      <c r="E906" s="252">
        <v>1</v>
      </c>
      <c r="F906" s="252">
        <v>0</v>
      </c>
    </row>
    <row r="907" spans="1:6" x14ac:dyDescent="0.35">
      <c r="A907" s="252" t="s">
        <v>964</v>
      </c>
      <c r="B907" s="252" t="s">
        <v>985</v>
      </c>
      <c r="C907" s="252" t="s">
        <v>981</v>
      </c>
      <c r="D907" s="252" t="s">
        <v>981</v>
      </c>
      <c r="E907" s="252">
        <v>1</v>
      </c>
      <c r="F907" s="252">
        <v>0</v>
      </c>
    </row>
    <row r="908" spans="1:6" x14ac:dyDescent="0.35">
      <c r="A908" s="252" t="s">
        <v>964</v>
      </c>
      <c r="B908" s="252" t="s">
        <v>985</v>
      </c>
      <c r="C908" s="252" t="s">
        <v>1168</v>
      </c>
      <c r="D908" s="252" t="s">
        <v>1168</v>
      </c>
      <c r="E908" s="252">
        <v>1</v>
      </c>
      <c r="F908" s="252">
        <v>0</v>
      </c>
    </row>
    <row r="909" spans="1:6" x14ac:dyDescent="0.35">
      <c r="A909" s="252" t="s">
        <v>964</v>
      </c>
      <c r="B909" s="252" t="s">
        <v>985</v>
      </c>
      <c r="C909" s="252" t="s">
        <v>1128</v>
      </c>
      <c r="D909" s="252" t="s">
        <v>1128</v>
      </c>
      <c r="E909" s="252">
        <v>1</v>
      </c>
      <c r="F909" s="252">
        <v>0</v>
      </c>
    </row>
    <row r="910" spans="1:6" x14ac:dyDescent="0.35">
      <c r="A910" s="252" t="s">
        <v>964</v>
      </c>
      <c r="B910" s="252" t="s">
        <v>985</v>
      </c>
      <c r="C910" s="252">
        <v>702</v>
      </c>
      <c r="D910" s="252" t="s">
        <v>1215</v>
      </c>
      <c r="E910" s="252">
        <v>1</v>
      </c>
      <c r="F910" s="252">
        <v>0</v>
      </c>
    </row>
    <row r="911" spans="1:6" x14ac:dyDescent="0.35">
      <c r="A911" s="252" t="s">
        <v>964</v>
      </c>
      <c r="B911" s="252" t="s">
        <v>985</v>
      </c>
      <c r="C911" s="252">
        <v>802</v>
      </c>
      <c r="D911" s="252" t="s">
        <v>1125</v>
      </c>
      <c r="E911" s="252">
        <v>1</v>
      </c>
      <c r="F911" s="252">
        <v>0</v>
      </c>
    </row>
    <row r="912" spans="1:6" x14ac:dyDescent="0.35">
      <c r="A912" s="252" t="s">
        <v>964</v>
      </c>
      <c r="B912" s="252" t="s">
        <v>1011</v>
      </c>
      <c r="C912" s="252">
        <v>3980</v>
      </c>
      <c r="D912" s="252" t="s">
        <v>981</v>
      </c>
      <c r="E912" s="252">
        <v>1</v>
      </c>
      <c r="F912" s="252">
        <v>0</v>
      </c>
    </row>
    <row r="913" spans="1:6" x14ac:dyDescent="0.35">
      <c r="A913" s="252" t="s">
        <v>964</v>
      </c>
      <c r="B913" s="252" t="s">
        <v>1011</v>
      </c>
      <c r="C913" s="252">
        <v>1701</v>
      </c>
      <c r="D913" s="252" t="s">
        <v>981</v>
      </c>
      <c r="E913" s="252">
        <v>1</v>
      </c>
      <c r="F913" s="252">
        <v>0</v>
      </c>
    </row>
    <row r="914" spans="1:6" x14ac:dyDescent="0.35">
      <c r="A914" s="252" t="s">
        <v>964</v>
      </c>
      <c r="B914" s="252" t="s">
        <v>1011</v>
      </c>
      <c r="C914" s="252" t="s">
        <v>1131</v>
      </c>
      <c r="D914" s="252" t="s">
        <v>1131</v>
      </c>
      <c r="E914" s="252">
        <v>1</v>
      </c>
      <c r="F914" s="252">
        <v>0</v>
      </c>
    </row>
    <row r="915" spans="1:6" x14ac:dyDescent="0.35">
      <c r="A915" s="252" t="s">
        <v>964</v>
      </c>
      <c r="B915" s="252" t="s">
        <v>1011</v>
      </c>
      <c r="C915" s="252">
        <v>701</v>
      </c>
      <c r="D915" s="252" t="s">
        <v>1110</v>
      </c>
      <c r="E915" s="252">
        <v>1</v>
      </c>
      <c r="F915" s="252">
        <v>0</v>
      </c>
    </row>
    <row r="916" spans="1:6" x14ac:dyDescent="0.35">
      <c r="A916" s="252" t="s">
        <v>964</v>
      </c>
      <c r="B916" s="252" t="s">
        <v>1002</v>
      </c>
      <c r="C916" s="252">
        <v>3980</v>
      </c>
      <c r="D916" s="252" t="s">
        <v>981</v>
      </c>
      <c r="E916" s="252">
        <v>1</v>
      </c>
      <c r="F916" s="252">
        <v>0</v>
      </c>
    </row>
    <row r="917" spans="1:6" x14ac:dyDescent="0.35">
      <c r="A917" s="252" t="s">
        <v>964</v>
      </c>
      <c r="B917" s="252" t="s">
        <v>1002</v>
      </c>
      <c r="C917" s="252" t="s">
        <v>1114</v>
      </c>
      <c r="D917" s="252" t="s">
        <v>1114</v>
      </c>
      <c r="E917" s="252">
        <v>1</v>
      </c>
      <c r="F917" s="252">
        <v>0</v>
      </c>
    </row>
    <row r="918" spans="1:6" x14ac:dyDescent="0.35">
      <c r="A918" s="252" t="s">
        <v>964</v>
      </c>
      <c r="B918" s="252" t="s">
        <v>1002</v>
      </c>
      <c r="C918" s="252" t="s">
        <v>1139</v>
      </c>
      <c r="D918" s="252" t="s">
        <v>1139</v>
      </c>
      <c r="E918" s="252">
        <v>1</v>
      </c>
      <c r="F918" s="252">
        <v>0</v>
      </c>
    </row>
    <row r="919" spans="1:6" x14ac:dyDescent="0.35">
      <c r="A919" s="252" t="s">
        <v>964</v>
      </c>
      <c r="B919" s="252" t="s">
        <v>1002</v>
      </c>
      <c r="C919" s="252" t="s">
        <v>1205</v>
      </c>
      <c r="D919" s="252" t="s">
        <v>1205</v>
      </c>
      <c r="E919" s="252">
        <v>1</v>
      </c>
      <c r="F919" s="252">
        <v>0</v>
      </c>
    </row>
    <row r="920" spans="1:6" x14ac:dyDescent="0.35">
      <c r="A920" s="252" t="s">
        <v>964</v>
      </c>
      <c r="B920" s="252" t="s">
        <v>1002</v>
      </c>
      <c r="C920" s="252" t="s">
        <v>1168</v>
      </c>
      <c r="D920" s="252" t="s">
        <v>1168</v>
      </c>
      <c r="E920" s="252">
        <v>1</v>
      </c>
      <c r="F920" s="252">
        <v>0</v>
      </c>
    </row>
    <row r="921" spans="1:6" x14ac:dyDescent="0.35">
      <c r="A921" s="252" t="s">
        <v>964</v>
      </c>
      <c r="B921" s="252" t="s">
        <v>1002</v>
      </c>
      <c r="C921" s="252">
        <v>1709</v>
      </c>
      <c r="D921" s="252" t="s">
        <v>1167</v>
      </c>
      <c r="E921" s="252">
        <v>1</v>
      </c>
      <c r="F921" s="252">
        <v>0</v>
      </c>
    </row>
    <row r="922" spans="1:6" x14ac:dyDescent="0.35">
      <c r="A922" s="252" t="s">
        <v>964</v>
      </c>
      <c r="B922" s="252" t="s">
        <v>1008</v>
      </c>
      <c r="C922" s="252">
        <v>3980</v>
      </c>
      <c r="D922" s="252" t="s">
        <v>981</v>
      </c>
      <c r="E922" s="252">
        <v>1</v>
      </c>
      <c r="F922" s="252">
        <v>0</v>
      </c>
    </row>
    <row r="923" spans="1:6" x14ac:dyDescent="0.35">
      <c r="A923" s="252" t="s">
        <v>964</v>
      </c>
      <c r="B923" s="252" t="s">
        <v>1008</v>
      </c>
      <c r="C923" s="252">
        <v>7161</v>
      </c>
      <c r="D923" s="252" t="s">
        <v>3508</v>
      </c>
      <c r="E923" s="252">
        <v>1</v>
      </c>
      <c r="F923" s="252">
        <v>0</v>
      </c>
    </row>
    <row r="924" spans="1:6" x14ac:dyDescent="0.35">
      <c r="A924" s="252" t="s">
        <v>964</v>
      </c>
      <c r="B924" s="252" t="s">
        <v>1008</v>
      </c>
      <c r="C924" s="252">
        <v>1402</v>
      </c>
      <c r="D924" s="252" t="s">
        <v>1129</v>
      </c>
      <c r="E924" s="252">
        <v>1</v>
      </c>
      <c r="F924" s="252">
        <v>0</v>
      </c>
    </row>
    <row r="925" spans="1:6" x14ac:dyDescent="0.35">
      <c r="A925" s="252" t="s">
        <v>964</v>
      </c>
      <c r="B925" s="252" t="s">
        <v>1008</v>
      </c>
      <c r="C925" s="252">
        <v>1406</v>
      </c>
      <c r="D925" s="252" t="s">
        <v>1115</v>
      </c>
      <c r="E925" s="252">
        <v>1</v>
      </c>
      <c r="F925" s="252">
        <v>0</v>
      </c>
    </row>
    <row r="926" spans="1:6" x14ac:dyDescent="0.35">
      <c r="A926" s="252" t="s">
        <v>964</v>
      </c>
      <c r="B926" s="252" t="s">
        <v>1008</v>
      </c>
      <c r="C926" s="252" t="s">
        <v>1144</v>
      </c>
      <c r="D926" s="252" t="s">
        <v>1144</v>
      </c>
      <c r="E926" s="252">
        <v>1</v>
      </c>
      <c r="F926" s="252">
        <v>0</v>
      </c>
    </row>
    <row r="927" spans="1:6" x14ac:dyDescent="0.35">
      <c r="A927" s="252" t="s">
        <v>964</v>
      </c>
      <c r="B927" s="252" t="s">
        <v>1008</v>
      </c>
      <c r="C927" s="252" t="s">
        <v>1167</v>
      </c>
      <c r="D927" s="252" t="s">
        <v>1167</v>
      </c>
      <c r="E927" s="252">
        <v>1</v>
      </c>
      <c r="F927" s="252">
        <v>0</v>
      </c>
    </row>
    <row r="928" spans="1:6" x14ac:dyDescent="0.35">
      <c r="A928" s="252" t="s">
        <v>964</v>
      </c>
      <c r="B928" s="252" t="s">
        <v>1008</v>
      </c>
      <c r="C928" s="252">
        <v>1701</v>
      </c>
      <c r="D928" s="252" t="s">
        <v>981</v>
      </c>
      <c r="E928" s="252">
        <v>1</v>
      </c>
      <c r="F928" s="252">
        <v>0</v>
      </c>
    </row>
    <row r="929" spans="1:6" x14ac:dyDescent="0.35">
      <c r="A929" s="252" t="s">
        <v>964</v>
      </c>
      <c r="B929" s="252" t="s">
        <v>1008</v>
      </c>
      <c r="C929" s="252">
        <v>1705</v>
      </c>
      <c r="D929" s="252" t="s">
        <v>1189</v>
      </c>
      <c r="E929" s="252">
        <v>1</v>
      </c>
      <c r="F929" s="252">
        <v>0</v>
      </c>
    </row>
    <row r="930" spans="1:6" x14ac:dyDescent="0.35">
      <c r="A930" s="252" t="s">
        <v>964</v>
      </c>
      <c r="B930" s="252" t="s">
        <v>1009</v>
      </c>
      <c r="C930" s="252">
        <v>1449</v>
      </c>
      <c r="D930" s="252" t="s">
        <v>1135</v>
      </c>
      <c r="E930" s="252">
        <v>1</v>
      </c>
      <c r="F930" s="252">
        <v>0</v>
      </c>
    </row>
    <row r="931" spans="1:6" x14ac:dyDescent="0.35">
      <c r="A931" s="252" t="s">
        <v>964</v>
      </c>
      <c r="B931" s="252" t="s">
        <v>1009</v>
      </c>
      <c r="C931" s="252">
        <v>2151</v>
      </c>
      <c r="D931" s="252" t="s">
        <v>1137</v>
      </c>
      <c r="E931" s="252">
        <v>1</v>
      </c>
      <c r="F931" s="252">
        <v>0</v>
      </c>
    </row>
    <row r="932" spans="1:6" x14ac:dyDescent="0.35">
      <c r="A932" s="252" t="s">
        <v>964</v>
      </c>
      <c r="B932" s="252" t="s">
        <v>1009</v>
      </c>
      <c r="C932" s="252">
        <v>3395</v>
      </c>
      <c r="D932" s="252" t="s">
        <v>1147</v>
      </c>
      <c r="E932" s="252">
        <v>1</v>
      </c>
      <c r="F932" s="252">
        <v>0</v>
      </c>
    </row>
    <row r="933" spans="1:6" x14ac:dyDescent="0.35">
      <c r="A933" s="252" t="s">
        <v>964</v>
      </c>
      <c r="B933" s="252" t="s">
        <v>1009</v>
      </c>
      <c r="C933" s="252">
        <v>3476</v>
      </c>
      <c r="D933" s="252" t="s">
        <v>1187</v>
      </c>
      <c r="E933" s="252">
        <v>1</v>
      </c>
      <c r="F933" s="252">
        <v>0</v>
      </c>
    </row>
    <row r="934" spans="1:6" x14ac:dyDescent="0.35">
      <c r="A934" s="252" t="s">
        <v>964</v>
      </c>
      <c r="B934" s="252" t="s">
        <v>1009</v>
      </c>
      <c r="C934" s="252">
        <v>4030</v>
      </c>
      <c r="D934" s="252" t="s">
        <v>1152</v>
      </c>
      <c r="E934" s="252">
        <v>1</v>
      </c>
      <c r="F934" s="252">
        <v>0</v>
      </c>
    </row>
    <row r="935" spans="1:6" x14ac:dyDescent="0.35">
      <c r="A935" s="252" t="s">
        <v>964</v>
      </c>
      <c r="B935" s="252" t="s">
        <v>1009</v>
      </c>
      <c r="C935" s="252">
        <v>7218</v>
      </c>
      <c r="D935" s="252" t="s">
        <v>1190</v>
      </c>
      <c r="E935" s="252">
        <v>1</v>
      </c>
      <c r="F935" s="252">
        <v>0</v>
      </c>
    </row>
    <row r="936" spans="1:6" x14ac:dyDescent="0.35">
      <c r="A936" s="252" t="s">
        <v>964</v>
      </c>
      <c r="B936" s="252" t="s">
        <v>1009</v>
      </c>
      <c r="C936" s="252" t="s">
        <v>1196</v>
      </c>
      <c r="D936" s="252" t="s">
        <v>1196</v>
      </c>
      <c r="E936" s="252">
        <v>1</v>
      </c>
      <c r="F936" s="252">
        <v>0</v>
      </c>
    </row>
    <row r="937" spans="1:6" x14ac:dyDescent="0.35">
      <c r="A937" s="252" t="s">
        <v>964</v>
      </c>
      <c r="B937" s="252" t="s">
        <v>1009</v>
      </c>
      <c r="C937" s="252" t="s">
        <v>1185</v>
      </c>
      <c r="D937" s="252" t="s">
        <v>1185</v>
      </c>
      <c r="E937" s="252">
        <v>1</v>
      </c>
      <c r="F937" s="252">
        <v>0</v>
      </c>
    </row>
    <row r="938" spans="1:6" x14ac:dyDescent="0.35">
      <c r="A938" s="252" t="s">
        <v>964</v>
      </c>
      <c r="B938" s="252" t="s">
        <v>1009</v>
      </c>
      <c r="C938" s="252" t="s">
        <v>1188</v>
      </c>
      <c r="D938" s="252" t="s">
        <v>1188</v>
      </c>
      <c r="E938" s="252">
        <v>1</v>
      </c>
      <c r="F938" s="252">
        <v>0</v>
      </c>
    </row>
    <row r="939" spans="1:6" x14ac:dyDescent="0.35">
      <c r="A939" s="252" t="s">
        <v>964</v>
      </c>
      <c r="B939" s="252" t="s">
        <v>1009</v>
      </c>
      <c r="C939" s="252" t="s">
        <v>1194</v>
      </c>
      <c r="D939" s="252" t="s">
        <v>1194</v>
      </c>
      <c r="E939" s="252">
        <v>1</v>
      </c>
      <c r="F939" s="252">
        <v>0</v>
      </c>
    </row>
    <row r="940" spans="1:6" x14ac:dyDescent="0.35">
      <c r="A940" s="252" t="s">
        <v>964</v>
      </c>
      <c r="B940" s="252" t="s">
        <v>1009</v>
      </c>
      <c r="C940" s="252" t="s">
        <v>1151</v>
      </c>
      <c r="D940" s="252" t="s">
        <v>1151</v>
      </c>
      <c r="E940" s="252">
        <v>1</v>
      </c>
      <c r="F940" s="252">
        <v>0</v>
      </c>
    </row>
    <row r="941" spans="1:6" x14ac:dyDescent="0.35">
      <c r="A941" s="252" t="s">
        <v>964</v>
      </c>
      <c r="B941" s="252" t="s">
        <v>1009</v>
      </c>
      <c r="C941" s="252">
        <v>1406</v>
      </c>
      <c r="D941" s="252" t="s">
        <v>1115</v>
      </c>
      <c r="E941" s="252">
        <v>1</v>
      </c>
      <c r="F941" s="252">
        <v>0</v>
      </c>
    </row>
    <row r="942" spans="1:6" x14ac:dyDescent="0.35">
      <c r="A942" s="252" t="s">
        <v>964</v>
      </c>
      <c r="B942" s="252" t="s">
        <v>1009</v>
      </c>
      <c r="C942" s="252" t="s">
        <v>3511</v>
      </c>
      <c r="D942" s="252" t="s">
        <v>3511</v>
      </c>
      <c r="E942" s="252">
        <v>1</v>
      </c>
      <c r="F942" s="252">
        <v>0</v>
      </c>
    </row>
    <row r="943" spans="1:6" x14ac:dyDescent="0.35">
      <c r="A943" s="252" t="s">
        <v>964</v>
      </c>
      <c r="B943" s="252" t="s">
        <v>1009</v>
      </c>
      <c r="C943" s="252">
        <v>1602</v>
      </c>
      <c r="D943" s="252" t="s">
        <v>1144</v>
      </c>
      <c r="E943" s="252">
        <v>1</v>
      </c>
      <c r="F943" s="252">
        <v>0</v>
      </c>
    </row>
    <row r="944" spans="1:6" x14ac:dyDescent="0.35">
      <c r="A944" s="252" t="s">
        <v>964</v>
      </c>
      <c r="B944" s="252" t="s">
        <v>1009</v>
      </c>
      <c r="C944" s="252">
        <v>1709</v>
      </c>
      <c r="D944" s="252" t="s">
        <v>1167</v>
      </c>
      <c r="E944" s="252">
        <v>1</v>
      </c>
      <c r="F944" s="252">
        <v>0</v>
      </c>
    </row>
    <row r="945" spans="1:6" x14ac:dyDescent="0.35">
      <c r="A945" s="252" t="s">
        <v>964</v>
      </c>
      <c r="B945" s="252" t="s">
        <v>1009</v>
      </c>
      <c r="C945" s="252">
        <v>1721</v>
      </c>
      <c r="D945" s="252" t="s">
        <v>1179</v>
      </c>
      <c r="E945" s="252">
        <v>1</v>
      </c>
      <c r="F945" s="252">
        <v>0</v>
      </c>
    </row>
    <row r="946" spans="1:6" x14ac:dyDescent="0.35">
      <c r="A946" s="252" t="s">
        <v>964</v>
      </c>
      <c r="B946" s="252" t="s">
        <v>1009</v>
      </c>
      <c r="C946" s="252" t="s">
        <v>1111</v>
      </c>
      <c r="D946" s="252" t="s">
        <v>1111</v>
      </c>
      <c r="E946" s="252">
        <v>1</v>
      </c>
      <c r="F946" s="252">
        <v>0</v>
      </c>
    </row>
    <row r="947" spans="1:6" x14ac:dyDescent="0.35">
      <c r="A947" s="252" t="s">
        <v>964</v>
      </c>
      <c r="B947" s="252" t="s">
        <v>1009</v>
      </c>
      <c r="C947" s="252" t="s">
        <v>1201</v>
      </c>
      <c r="D947" s="252" t="s">
        <v>1201</v>
      </c>
      <c r="E947" s="252">
        <v>1</v>
      </c>
      <c r="F947" s="252">
        <v>0</v>
      </c>
    </row>
    <row r="948" spans="1:6" x14ac:dyDescent="0.35">
      <c r="A948" s="252" t="s">
        <v>964</v>
      </c>
      <c r="B948" s="252" t="s">
        <v>1009</v>
      </c>
      <c r="C948" s="252" t="s">
        <v>1152</v>
      </c>
      <c r="D948" s="252" t="s">
        <v>1152</v>
      </c>
      <c r="E948" s="252">
        <v>1</v>
      </c>
      <c r="F948" s="252">
        <v>0</v>
      </c>
    </row>
    <row r="949" spans="1:6" x14ac:dyDescent="0.35">
      <c r="A949" s="252" t="s">
        <v>964</v>
      </c>
      <c r="B949" s="252" t="s">
        <v>1009</v>
      </c>
      <c r="C949" s="252" t="s">
        <v>1191</v>
      </c>
      <c r="D949" s="252" t="s">
        <v>1191</v>
      </c>
      <c r="E949" s="252">
        <v>1</v>
      </c>
      <c r="F949" s="252">
        <v>0</v>
      </c>
    </row>
    <row r="950" spans="1:6" x14ac:dyDescent="0.35">
      <c r="A950" s="252" t="s">
        <v>964</v>
      </c>
      <c r="B950" s="252" t="s">
        <v>1009</v>
      </c>
      <c r="C950" s="252" t="s">
        <v>1127</v>
      </c>
      <c r="D950" s="252" t="s">
        <v>1127</v>
      </c>
      <c r="E950" s="252">
        <v>1</v>
      </c>
      <c r="F950" s="252">
        <v>0</v>
      </c>
    </row>
    <row r="951" spans="1:6" x14ac:dyDescent="0.35">
      <c r="A951" s="252" t="s">
        <v>964</v>
      </c>
      <c r="B951" s="252" t="s">
        <v>1009</v>
      </c>
      <c r="C951" s="252" t="s">
        <v>1135</v>
      </c>
      <c r="D951" s="252" t="s">
        <v>1135</v>
      </c>
      <c r="E951" s="252">
        <v>1</v>
      </c>
      <c r="F951" s="252">
        <v>0</v>
      </c>
    </row>
    <row r="952" spans="1:6" x14ac:dyDescent="0.35">
      <c r="A952" s="252" t="s">
        <v>964</v>
      </c>
      <c r="B952" s="252" t="s">
        <v>1009</v>
      </c>
      <c r="C952" s="252" t="s">
        <v>1165</v>
      </c>
      <c r="D952" s="252" t="s">
        <v>1165</v>
      </c>
      <c r="E952" s="252">
        <v>1</v>
      </c>
      <c r="F952" s="252">
        <v>0</v>
      </c>
    </row>
    <row r="953" spans="1:6" x14ac:dyDescent="0.35">
      <c r="A953" s="252" t="s">
        <v>964</v>
      </c>
      <c r="B953" s="252" t="s">
        <v>1009</v>
      </c>
      <c r="C953" s="252" t="s">
        <v>1155</v>
      </c>
      <c r="D953" s="252" t="s">
        <v>1155</v>
      </c>
      <c r="E953" s="252">
        <v>1</v>
      </c>
      <c r="F953" s="252">
        <v>0</v>
      </c>
    </row>
    <row r="954" spans="1:6" x14ac:dyDescent="0.35">
      <c r="A954" s="252" t="s">
        <v>964</v>
      </c>
      <c r="B954" s="252" t="s">
        <v>1009</v>
      </c>
      <c r="C954" s="252">
        <v>709</v>
      </c>
      <c r="D954" s="252" t="s">
        <v>1175</v>
      </c>
      <c r="E954" s="252">
        <v>1</v>
      </c>
      <c r="F954" s="252">
        <v>0</v>
      </c>
    </row>
    <row r="955" spans="1:6" x14ac:dyDescent="0.35">
      <c r="A955" s="252" t="s">
        <v>964</v>
      </c>
      <c r="B955" s="252" t="s">
        <v>1009</v>
      </c>
      <c r="C955" s="252" t="s">
        <v>1122</v>
      </c>
      <c r="D955" s="252" t="s">
        <v>1122</v>
      </c>
      <c r="E955" s="252">
        <v>1</v>
      </c>
      <c r="F955" s="252">
        <v>0</v>
      </c>
    </row>
    <row r="956" spans="1:6" x14ac:dyDescent="0.35">
      <c r="A956" s="252" t="s">
        <v>964</v>
      </c>
      <c r="B956" s="252" t="s">
        <v>1065</v>
      </c>
      <c r="C956" s="252" t="s">
        <v>1134</v>
      </c>
      <c r="D956" s="252" t="s">
        <v>1134</v>
      </c>
      <c r="E956" s="252">
        <v>1</v>
      </c>
      <c r="F956" s="252">
        <v>0</v>
      </c>
    </row>
    <row r="957" spans="1:6" x14ac:dyDescent="0.35">
      <c r="A957" s="252" t="s">
        <v>964</v>
      </c>
      <c r="B957" s="252" t="s">
        <v>1065</v>
      </c>
      <c r="C957" s="252" t="s">
        <v>1139</v>
      </c>
      <c r="D957" s="252" t="s">
        <v>1139</v>
      </c>
      <c r="E957" s="252">
        <v>1</v>
      </c>
      <c r="F957" s="252">
        <v>0</v>
      </c>
    </row>
    <row r="958" spans="1:6" x14ac:dyDescent="0.35">
      <c r="A958" s="252" t="s">
        <v>964</v>
      </c>
      <c r="B958" s="252" t="s">
        <v>1065</v>
      </c>
      <c r="C958" s="252" t="s">
        <v>1163</v>
      </c>
      <c r="D958" s="252" t="s">
        <v>1163</v>
      </c>
      <c r="E958" s="252">
        <v>1</v>
      </c>
      <c r="F958" s="252">
        <v>0</v>
      </c>
    </row>
    <row r="959" spans="1:6" x14ac:dyDescent="0.35">
      <c r="A959" s="252" t="s">
        <v>964</v>
      </c>
      <c r="B959" s="252" t="s">
        <v>1065</v>
      </c>
      <c r="C959" s="252" t="s">
        <v>1210</v>
      </c>
      <c r="D959" s="252" t="s">
        <v>1163</v>
      </c>
      <c r="E959" s="252">
        <v>1</v>
      </c>
      <c r="F959" s="252">
        <v>0</v>
      </c>
    </row>
    <row r="960" spans="1:6" x14ac:dyDescent="0.35">
      <c r="A960" s="252" t="s">
        <v>964</v>
      </c>
      <c r="B960" s="252" t="s">
        <v>1065</v>
      </c>
      <c r="C960" s="252" t="s">
        <v>981</v>
      </c>
      <c r="D960" s="252" t="s">
        <v>981</v>
      </c>
      <c r="E960" s="252">
        <v>1</v>
      </c>
      <c r="F960" s="252">
        <v>0</v>
      </c>
    </row>
    <row r="961" spans="1:6" x14ac:dyDescent="0.35">
      <c r="A961" s="252" t="s">
        <v>964</v>
      </c>
      <c r="B961" s="252" t="s">
        <v>1065</v>
      </c>
      <c r="C961" s="252">
        <v>1701</v>
      </c>
      <c r="D961" s="252" t="s">
        <v>981</v>
      </c>
      <c r="E961" s="252">
        <v>1</v>
      </c>
      <c r="F961" s="252">
        <v>0</v>
      </c>
    </row>
    <row r="962" spans="1:6" x14ac:dyDescent="0.35">
      <c r="A962" s="252" t="s">
        <v>964</v>
      </c>
      <c r="B962" s="252" t="s">
        <v>1065</v>
      </c>
      <c r="C962" s="252" t="s">
        <v>1155</v>
      </c>
      <c r="D962" s="252" t="s">
        <v>1155</v>
      </c>
      <c r="E962" s="252">
        <v>1</v>
      </c>
      <c r="F962" s="252">
        <v>0</v>
      </c>
    </row>
    <row r="963" spans="1:6" x14ac:dyDescent="0.35">
      <c r="A963" s="252" t="s">
        <v>964</v>
      </c>
      <c r="B963" s="252" t="s">
        <v>1066</v>
      </c>
      <c r="C963" s="252" t="s">
        <v>1210</v>
      </c>
      <c r="D963" s="252" t="s">
        <v>1210</v>
      </c>
      <c r="E963" s="252">
        <v>1</v>
      </c>
      <c r="F963" s="252">
        <v>0</v>
      </c>
    </row>
    <row r="964" spans="1:6" x14ac:dyDescent="0.35">
      <c r="A964" s="252" t="s">
        <v>964</v>
      </c>
      <c r="B964" s="252" t="s">
        <v>1066</v>
      </c>
      <c r="C964" s="252">
        <v>1401</v>
      </c>
      <c r="D964" s="252" t="s">
        <v>1163</v>
      </c>
      <c r="E964" s="252">
        <v>1</v>
      </c>
      <c r="F964" s="252">
        <v>0</v>
      </c>
    </row>
    <row r="965" spans="1:6" x14ac:dyDescent="0.35">
      <c r="A965" s="252" t="s">
        <v>964</v>
      </c>
      <c r="B965" s="252" t="s">
        <v>972</v>
      </c>
      <c r="C965" s="252">
        <v>2919</v>
      </c>
      <c r="D965" s="252" t="s">
        <v>1162</v>
      </c>
      <c r="E965" s="252">
        <v>1</v>
      </c>
      <c r="F965" s="252">
        <v>0</v>
      </c>
    </row>
    <row r="966" spans="1:6" x14ac:dyDescent="0.35">
      <c r="A966" s="252" t="s">
        <v>964</v>
      </c>
      <c r="B966" s="252" t="s">
        <v>972</v>
      </c>
      <c r="C966" s="252">
        <v>1406</v>
      </c>
      <c r="D966" s="252" t="s">
        <v>1115</v>
      </c>
      <c r="E966" s="252">
        <v>1</v>
      </c>
      <c r="F966" s="252">
        <v>0</v>
      </c>
    </row>
    <row r="967" spans="1:6" x14ac:dyDescent="0.35">
      <c r="A967" s="252" t="s">
        <v>964</v>
      </c>
      <c r="B967" s="252" t="s">
        <v>972</v>
      </c>
      <c r="C967" s="252">
        <v>1602</v>
      </c>
      <c r="D967" s="252" t="s">
        <v>1144</v>
      </c>
      <c r="E967" s="252">
        <v>1</v>
      </c>
      <c r="F967" s="252">
        <v>0</v>
      </c>
    </row>
    <row r="968" spans="1:6" x14ac:dyDescent="0.35">
      <c r="A968" s="252" t="s">
        <v>964</v>
      </c>
      <c r="B968" s="252" t="s">
        <v>972</v>
      </c>
      <c r="C968" s="252" t="s">
        <v>1123</v>
      </c>
      <c r="D968" s="252" t="s">
        <v>1123</v>
      </c>
      <c r="E968" s="252">
        <v>1</v>
      </c>
      <c r="F968" s="252">
        <v>0</v>
      </c>
    </row>
    <row r="969" spans="1:6" x14ac:dyDescent="0.35">
      <c r="A969" s="252" t="s">
        <v>964</v>
      </c>
      <c r="B969" s="252" t="s">
        <v>972</v>
      </c>
      <c r="C969" s="252" t="s">
        <v>1149</v>
      </c>
      <c r="D969" s="252" t="s">
        <v>1149</v>
      </c>
      <c r="E969" s="252">
        <v>1</v>
      </c>
      <c r="F969" s="252">
        <v>0</v>
      </c>
    </row>
    <row r="970" spans="1:6" x14ac:dyDescent="0.35">
      <c r="A970" s="252" t="s">
        <v>964</v>
      </c>
      <c r="B970" s="252" t="s">
        <v>1035</v>
      </c>
      <c r="C970" s="252">
        <v>1402</v>
      </c>
      <c r="D970" s="252" t="s">
        <v>1129</v>
      </c>
      <c r="E970" s="252">
        <v>1</v>
      </c>
      <c r="F970" s="252">
        <v>0</v>
      </c>
    </row>
    <row r="971" spans="1:6" x14ac:dyDescent="0.35">
      <c r="A971" s="252" t="s">
        <v>964</v>
      </c>
      <c r="B971" s="252" t="s">
        <v>1035</v>
      </c>
      <c r="C971" s="252" t="s">
        <v>1133</v>
      </c>
      <c r="D971" s="252" t="s">
        <v>1133</v>
      </c>
      <c r="E971" s="252">
        <v>1</v>
      </c>
      <c r="F971" s="252">
        <v>0</v>
      </c>
    </row>
    <row r="972" spans="1:6" x14ac:dyDescent="0.35">
      <c r="A972" s="252" t="s">
        <v>964</v>
      </c>
      <c r="B972" s="252" t="s">
        <v>1035</v>
      </c>
      <c r="C972" s="252">
        <v>2001</v>
      </c>
      <c r="D972" s="252" t="s">
        <v>1111</v>
      </c>
      <c r="E972" s="252">
        <v>1</v>
      </c>
      <c r="F972" s="252">
        <v>0</v>
      </c>
    </row>
    <row r="973" spans="1:6" x14ac:dyDescent="0.35">
      <c r="A973" s="252" t="s">
        <v>964</v>
      </c>
      <c r="B973" s="252" t="s">
        <v>1035</v>
      </c>
      <c r="C973" s="252" t="s">
        <v>1156</v>
      </c>
      <c r="D973" s="252" t="s">
        <v>1156</v>
      </c>
      <c r="E973" s="252">
        <v>1</v>
      </c>
      <c r="F973" s="252">
        <v>0</v>
      </c>
    </row>
    <row r="974" spans="1:6" x14ac:dyDescent="0.35">
      <c r="A974" s="252" t="s">
        <v>964</v>
      </c>
      <c r="B974" s="252" t="s">
        <v>1035</v>
      </c>
      <c r="C974" s="252">
        <v>303</v>
      </c>
      <c r="D974" s="252" t="s">
        <v>1213</v>
      </c>
      <c r="E974" s="252">
        <v>1</v>
      </c>
      <c r="F974" s="252">
        <v>0</v>
      </c>
    </row>
    <row r="975" spans="1:6" x14ac:dyDescent="0.35">
      <c r="A975" s="252" t="s">
        <v>964</v>
      </c>
      <c r="B975" s="252" t="s">
        <v>1029</v>
      </c>
      <c r="C975" s="252">
        <v>3980</v>
      </c>
      <c r="D975" s="252" t="s">
        <v>981</v>
      </c>
      <c r="E975" s="252">
        <v>1</v>
      </c>
      <c r="F975" s="252">
        <v>0</v>
      </c>
    </row>
    <row r="976" spans="1:6" x14ac:dyDescent="0.35">
      <c r="A976" s="252" t="s">
        <v>964</v>
      </c>
      <c r="B976" s="252" t="s">
        <v>1029</v>
      </c>
      <c r="C976" s="252" t="s">
        <v>1116</v>
      </c>
      <c r="D976" s="252" t="s">
        <v>1116</v>
      </c>
      <c r="E976" s="252">
        <v>1</v>
      </c>
      <c r="F976" s="252">
        <v>0</v>
      </c>
    </row>
    <row r="977" spans="1:6" x14ac:dyDescent="0.35">
      <c r="A977" s="252" t="s">
        <v>964</v>
      </c>
      <c r="B977" s="252" t="s">
        <v>1029</v>
      </c>
      <c r="C977" s="252" t="s">
        <v>1151</v>
      </c>
      <c r="D977" s="252" t="s">
        <v>1151</v>
      </c>
      <c r="E977" s="252">
        <v>1</v>
      </c>
      <c r="F977" s="252">
        <v>0</v>
      </c>
    </row>
    <row r="978" spans="1:6" x14ac:dyDescent="0.35">
      <c r="A978" s="252" t="s">
        <v>964</v>
      </c>
      <c r="B978" s="252" t="s">
        <v>1029</v>
      </c>
      <c r="C978" s="252" t="s">
        <v>981</v>
      </c>
      <c r="D978" s="252" t="s">
        <v>981</v>
      </c>
      <c r="E978" s="252">
        <v>1</v>
      </c>
      <c r="F978" s="252">
        <v>0</v>
      </c>
    </row>
    <row r="979" spans="1:6" x14ac:dyDescent="0.35">
      <c r="A979" s="252" t="s">
        <v>964</v>
      </c>
      <c r="B979" s="252" t="s">
        <v>1072</v>
      </c>
      <c r="C979" s="252">
        <v>1709</v>
      </c>
      <c r="D979" s="252" t="s">
        <v>1167</v>
      </c>
      <c r="E979" s="252">
        <v>1</v>
      </c>
      <c r="F979" s="252">
        <v>0</v>
      </c>
    </row>
    <row r="980" spans="1:6" x14ac:dyDescent="0.35">
      <c r="A980"/>
      <c r="B980"/>
      <c r="C980"/>
      <c r="D980"/>
    </row>
    <row r="981" spans="1:6" x14ac:dyDescent="0.35">
      <c r="A981"/>
      <c r="B981"/>
      <c r="C981"/>
      <c r="D981"/>
    </row>
    <row r="982" spans="1:6" x14ac:dyDescent="0.35">
      <c r="A982"/>
      <c r="B982"/>
      <c r="C982"/>
      <c r="D982"/>
    </row>
    <row r="983" spans="1:6" x14ac:dyDescent="0.35">
      <c r="A983"/>
      <c r="B983"/>
      <c r="C983"/>
      <c r="D983"/>
    </row>
    <row r="984" spans="1:6" x14ac:dyDescent="0.35">
      <c r="A984"/>
      <c r="B984"/>
      <c r="C984"/>
      <c r="D984"/>
    </row>
    <row r="985" spans="1:6" x14ac:dyDescent="0.35">
      <c r="A985"/>
      <c r="B985"/>
      <c r="C985"/>
      <c r="D985"/>
    </row>
    <row r="986" spans="1:6" x14ac:dyDescent="0.35">
      <c r="A986"/>
      <c r="B986"/>
      <c r="C986"/>
      <c r="D986"/>
    </row>
    <row r="987" spans="1:6" x14ac:dyDescent="0.35">
      <c r="A987"/>
      <c r="B987"/>
      <c r="C987"/>
      <c r="D987"/>
    </row>
    <row r="988" spans="1:6" x14ac:dyDescent="0.35">
      <c r="A988"/>
      <c r="B988"/>
      <c r="C988"/>
      <c r="D988"/>
    </row>
    <row r="989" spans="1:6" x14ac:dyDescent="0.35">
      <c r="A989"/>
      <c r="B989"/>
      <c r="C989"/>
      <c r="D989"/>
    </row>
    <row r="990" spans="1:6" x14ac:dyDescent="0.35">
      <c r="A990"/>
      <c r="B990"/>
      <c r="C990"/>
      <c r="D990"/>
    </row>
    <row r="991" spans="1:6" x14ac:dyDescent="0.35">
      <c r="A991"/>
      <c r="B991"/>
      <c r="C991"/>
      <c r="D991"/>
    </row>
    <row r="992" spans="1:6" x14ac:dyDescent="0.35">
      <c r="A992"/>
      <c r="B992"/>
      <c r="C992"/>
      <c r="D992"/>
    </row>
    <row r="993" spans="1:4" x14ac:dyDescent="0.35">
      <c r="A993"/>
      <c r="B993"/>
      <c r="C993"/>
      <c r="D993"/>
    </row>
    <row r="994" spans="1:4" x14ac:dyDescent="0.35">
      <c r="A994"/>
      <c r="B994"/>
      <c r="C994"/>
      <c r="D994"/>
    </row>
    <row r="995" spans="1:4" x14ac:dyDescent="0.35">
      <c r="A995"/>
      <c r="B995"/>
      <c r="C995"/>
      <c r="D995"/>
    </row>
    <row r="996" spans="1:4" x14ac:dyDescent="0.35">
      <c r="A996"/>
      <c r="B996"/>
      <c r="C996"/>
      <c r="D996"/>
    </row>
    <row r="997" spans="1:4" x14ac:dyDescent="0.35">
      <c r="A997"/>
      <c r="B997"/>
      <c r="C997"/>
      <c r="D997"/>
    </row>
    <row r="998" spans="1:4" x14ac:dyDescent="0.35">
      <c r="A998"/>
      <c r="B998"/>
      <c r="C998"/>
      <c r="D998"/>
    </row>
    <row r="999" spans="1:4" x14ac:dyDescent="0.35">
      <c r="A999"/>
      <c r="B999"/>
      <c r="C999"/>
      <c r="D999"/>
    </row>
    <row r="1000" spans="1:4" x14ac:dyDescent="0.35">
      <c r="A1000"/>
      <c r="B1000"/>
      <c r="C1000"/>
      <c r="D1000"/>
    </row>
    <row r="1001" spans="1:4" x14ac:dyDescent="0.35">
      <c r="A1001"/>
      <c r="B1001"/>
      <c r="C1001"/>
      <c r="D1001"/>
    </row>
    <row r="1002" spans="1:4" x14ac:dyDescent="0.35">
      <c r="A1002"/>
      <c r="B1002"/>
      <c r="C1002"/>
      <c r="D1002"/>
    </row>
    <row r="1003" spans="1:4" x14ac:dyDescent="0.35">
      <c r="A1003"/>
      <c r="B1003"/>
      <c r="C1003"/>
      <c r="D1003"/>
    </row>
    <row r="1004" spans="1:4" x14ac:dyDescent="0.35">
      <c r="A1004"/>
      <c r="B1004"/>
      <c r="C1004"/>
      <c r="D1004"/>
    </row>
    <row r="1005" spans="1:4" x14ac:dyDescent="0.35">
      <c r="A1005"/>
      <c r="B1005"/>
      <c r="C1005"/>
      <c r="D1005"/>
    </row>
    <row r="1006" spans="1:4" x14ac:dyDescent="0.35">
      <c r="A1006"/>
      <c r="B1006"/>
      <c r="C1006"/>
      <c r="D1006"/>
    </row>
    <row r="1007" spans="1:4" x14ac:dyDescent="0.35">
      <c r="A1007"/>
      <c r="B1007"/>
      <c r="C1007"/>
      <c r="D1007"/>
    </row>
    <row r="1008" spans="1:4" x14ac:dyDescent="0.35">
      <c r="A1008"/>
      <c r="B1008"/>
      <c r="C1008"/>
      <c r="D1008"/>
    </row>
    <row r="1009" spans="1:4" x14ac:dyDescent="0.35">
      <c r="A1009"/>
      <c r="B1009"/>
      <c r="C1009"/>
      <c r="D1009"/>
    </row>
    <row r="1010" spans="1:4" x14ac:dyDescent="0.35">
      <c r="A1010"/>
      <c r="B1010"/>
      <c r="C1010"/>
      <c r="D1010"/>
    </row>
    <row r="1011" spans="1:4" x14ac:dyDescent="0.35">
      <c r="A1011"/>
      <c r="B1011"/>
      <c r="C1011"/>
      <c r="D1011"/>
    </row>
    <row r="1012" spans="1:4" x14ac:dyDescent="0.35">
      <c r="A1012"/>
      <c r="B1012"/>
      <c r="C1012"/>
      <c r="D1012"/>
    </row>
    <row r="1013" spans="1:4" x14ac:dyDescent="0.35">
      <c r="A1013"/>
      <c r="B1013"/>
      <c r="C1013"/>
      <c r="D1013"/>
    </row>
    <row r="1014" spans="1:4" x14ac:dyDescent="0.35">
      <c r="A1014"/>
      <c r="B1014"/>
      <c r="C1014"/>
      <c r="D1014"/>
    </row>
    <row r="1015" spans="1:4" x14ac:dyDescent="0.35">
      <c r="A1015"/>
      <c r="B1015"/>
      <c r="C1015"/>
      <c r="D1015"/>
    </row>
    <row r="1016" spans="1:4" x14ac:dyDescent="0.35">
      <c r="A1016"/>
      <c r="B1016"/>
      <c r="C1016"/>
      <c r="D1016"/>
    </row>
    <row r="1017" spans="1:4" x14ac:dyDescent="0.35">
      <c r="A1017"/>
      <c r="B1017"/>
      <c r="C1017"/>
      <c r="D1017"/>
    </row>
    <row r="1018" spans="1:4" x14ac:dyDescent="0.35">
      <c r="A1018"/>
      <c r="B1018"/>
      <c r="C1018"/>
      <c r="D1018"/>
    </row>
    <row r="1019" spans="1:4" x14ac:dyDescent="0.35">
      <c r="A1019"/>
      <c r="B1019"/>
      <c r="C1019"/>
      <c r="D1019"/>
    </row>
    <row r="1020" spans="1:4" x14ac:dyDescent="0.35">
      <c r="A1020"/>
      <c r="B1020"/>
      <c r="C1020"/>
      <c r="D1020"/>
    </row>
    <row r="1021" spans="1:4" x14ac:dyDescent="0.35">
      <c r="A1021"/>
      <c r="B1021"/>
      <c r="C1021"/>
      <c r="D1021"/>
    </row>
    <row r="1022" spans="1:4" x14ac:dyDescent="0.35">
      <c r="A1022"/>
      <c r="B1022"/>
      <c r="C1022"/>
      <c r="D1022"/>
    </row>
    <row r="1023" spans="1:4" x14ac:dyDescent="0.35">
      <c r="A1023"/>
      <c r="B1023"/>
      <c r="C1023"/>
      <c r="D1023"/>
    </row>
    <row r="1024" spans="1:4" x14ac:dyDescent="0.35">
      <c r="A1024"/>
      <c r="B1024"/>
      <c r="C1024"/>
      <c r="D1024"/>
    </row>
    <row r="1025" spans="1:4" x14ac:dyDescent="0.35">
      <c r="A1025"/>
      <c r="B1025"/>
      <c r="C1025"/>
      <c r="D1025"/>
    </row>
    <row r="1026" spans="1:4" x14ac:dyDescent="0.35">
      <c r="A1026"/>
      <c r="B1026"/>
      <c r="C1026"/>
      <c r="D1026"/>
    </row>
    <row r="1027" spans="1:4" x14ac:dyDescent="0.35">
      <c r="A1027"/>
      <c r="B1027"/>
      <c r="C1027"/>
      <c r="D1027"/>
    </row>
    <row r="1028" spans="1:4" x14ac:dyDescent="0.35">
      <c r="A1028"/>
      <c r="B1028"/>
      <c r="C1028"/>
      <c r="D1028"/>
    </row>
    <row r="1029" spans="1:4" x14ac:dyDescent="0.35">
      <c r="A1029"/>
      <c r="B1029"/>
      <c r="C1029"/>
      <c r="D1029"/>
    </row>
    <row r="1030" spans="1:4" x14ac:dyDescent="0.35">
      <c r="A1030"/>
      <c r="B1030"/>
      <c r="C1030"/>
      <c r="D1030"/>
    </row>
    <row r="1031" spans="1:4" x14ac:dyDescent="0.35">
      <c r="A1031"/>
      <c r="B1031"/>
      <c r="C1031"/>
      <c r="D1031"/>
    </row>
    <row r="1032" spans="1:4" x14ac:dyDescent="0.35">
      <c r="A1032"/>
      <c r="B1032"/>
      <c r="C1032"/>
      <c r="D1032"/>
    </row>
    <row r="1033" spans="1:4" x14ac:dyDescent="0.35">
      <c r="A1033"/>
      <c r="B1033"/>
      <c r="C1033"/>
      <c r="D1033"/>
    </row>
    <row r="1034" spans="1:4" x14ac:dyDescent="0.35">
      <c r="A1034"/>
      <c r="B1034"/>
      <c r="C1034"/>
      <c r="D1034"/>
    </row>
    <row r="1035" spans="1:4" x14ac:dyDescent="0.35">
      <c r="A1035"/>
      <c r="B1035"/>
      <c r="C1035"/>
      <c r="D1035"/>
    </row>
    <row r="1036" spans="1:4" x14ac:dyDescent="0.35">
      <c r="A1036"/>
      <c r="B1036"/>
      <c r="C1036"/>
      <c r="D1036"/>
    </row>
    <row r="1037" spans="1:4" x14ac:dyDescent="0.35">
      <c r="A1037"/>
      <c r="B1037"/>
      <c r="C1037"/>
      <c r="D1037"/>
    </row>
    <row r="1038" spans="1:4" x14ac:dyDescent="0.35">
      <c r="A1038"/>
      <c r="B1038"/>
      <c r="C1038"/>
      <c r="D1038"/>
    </row>
    <row r="1039" spans="1:4" x14ac:dyDescent="0.35">
      <c r="A1039"/>
      <c r="B1039"/>
      <c r="C1039"/>
      <c r="D1039"/>
    </row>
    <row r="1040" spans="1:4" x14ac:dyDescent="0.35">
      <c r="A1040"/>
      <c r="B1040"/>
      <c r="C1040"/>
      <c r="D1040"/>
    </row>
    <row r="1041" spans="1:4" x14ac:dyDescent="0.35">
      <c r="A1041"/>
      <c r="B1041"/>
      <c r="C1041"/>
      <c r="D1041"/>
    </row>
    <row r="1042" spans="1:4" x14ac:dyDescent="0.35">
      <c r="A1042"/>
      <c r="B1042"/>
      <c r="C1042"/>
      <c r="D1042"/>
    </row>
    <row r="1043" spans="1:4" x14ac:dyDescent="0.35">
      <c r="A1043"/>
      <c r="B1043"/>
      <c r="C1043"/>
      <c r="D1043"/>
    </row>
    <row r="1044" spans="1:4" x14ac:dyDescent="0.35">
      <c r="A1044"/>
      <c r="B1044"/>
      <c r="C1044"/>
      <c r="D1044"/>
    </row>
    <row r="1045" spans="1:4" x14ac:dyDescent="0.35">
      <c r="A1045"/>
      <c r="B1045"/>
      <c r="C1045"/>
      <c r="D1045"/>
    </row>
    <row r="1046" spans="1:4" x14ac:dyDescent="0.35">
      <c r="A1046"/>
      <c r="B1046"/>
      <c r="C1046"/>
      <c r="D1046"/>
    </row>
    <row r="1047" spans="1:4" x14ac:dyDescent="0.35">
      <c r="A1047"/>
      <c r="B1047"/>
      <c r="C1047"/>
      <c r="D1047"/>
    </row>
    <row r="1048" spans="1:4" x14ac:dyDescent="0.35">
      <c r="A1048"/>
      <c r="B1048"/>
      <c r="C1048"/>
      <c r="D1048"/>
    </row>
    <row r="1049" spans="1:4" x14ac:dyDescent="0.35">
      <c r="A1049"/>
      <c r="B1049"/>
      <c r="C1049"/>
      <c r="D1049"/>
    </row>
    <row r="1050" spans="1:4" x14ac:dyDescent="0.35">
      <c r="A1050"/>
      <c r="B1050"/>
      <c r="C1050"/>
      <c r="D1050"/>
    </row>
    <row r="1051" spans="1:4" x14ac:dyDescent="0.35">
      <c r="A1051"/>
      <c r="B1051"/>
      <c r="C1051"/>
      <c r="D1051"/>
    </row>
    <row r="1052" spans="1:4" x14ac:dyDescent="0.35">
      <c r="A1052"/>
      <c r="B1052"/>
      <c r="C1052"/>
      <c r="D1052"/>
    </row>
    <row r="1053" spans="1:4" x14ac:dyDescent="0.35">
      <c r="A1053"/>
      <c r="B1053"/>
      <c r="C1053"/>
      <c r="D1053"/>
    </row>
    <row r="1054" spans="1:4" x14ac:dyDescent="0.35">
      <c r="A1054"/>
      <c r="B1054"/>
      <c r="C1054"/>
      <c r="D1054"/>
    </row>
    <row r="1055" spans="1:4" x14ac:dyDescent="0.35">
      <c r="A1055"/>
      <c r="B1055"/>
      <c r="C1055"/>
      <c r="D1055"/>
    </row>
    <row r="1056" spans="1:4" x14ac:dyDescent="0.35">
      <c r="A1056"/>
      <c r="B1056"/>
      <c r="C1056"/>
      <c r="D1056"/>
    </row>
    <row r="1057" spans="1:4" x14ac:dyDescent="0.35">
      <c r="A1057"/>
      <c r="B1057"/>
      <c r="C1057"/>
      <c r="D1057"/>
    </row>
    <row r="1058" spans="1:4" x14ac:dyDescent="0.35">
      <c r="A1058"/>
      <c r="B1058"/>
      <c r="C1058"/>
      <c r="D1058"/>
    </row>
    <row r="1059" spans="1:4" x14ac:dyDescent="0.35">
      <c r="A1059"/>
      <c r="B1059"/>
      <c r="C1059"/>
      <c r="D1059"/>
    </row>
    <row r="1060" spans="1:4" x14ac:dyDescent="0.35">
      <c r="A1060"/>
      <c r="B1060"/>
      <c r="C1060"/>
      <c r="D1060"/>
    </row>
    <row r="1061" spans="1:4" x14ac:dyDescent="0.35">
      <c r="A1061"/>
      <c r="B1061"/>
      <c r="C1061"/>
      <c r="D1061"/>
    </row>
    <row r="1062" spans="1:4" x14ac:dyDescent="0.35">
      <c r="A1062"/>
      <c r="B1062"/>
      <c r="C1062"/>
      <c r="D1062"/>
    </row>
    <row r="1063" spans="1:4" x14ac:dyDescent="0.35">
      <c r="A1063"/>
      <c r="B1063"/>
      <c r="C1063"/>
      <c r="D1063"/>
    </row>
    <row r="1064" spans="1:4" x14ac:dyDescent="0.35">
      <c r="A1064"/>
      <c r="B1064"/>
      <c r="C1064"/>
      <c r="D1064"/>
    </row>
    <row r="1065" spans="1:4" x14ac:dyDescent="0.35">
      <c r="A1065"/>
      <c r="B1065"/>
      <c r="C1065"/>
      <c r="D1065"/>
    </row>
    <row r="1066" spans="1:4" x14ac:dyDescent="0.35">
      <c r="A1066"/>
      <c r="B1066"/>
      <c r="C1066"/>
      <c r="D1066"/>
    </row>
    <row r="1067" spans="1:4" x14ac:dyDescent="0.35">
      <c r="A1067"/>
      <c r="B1067"/>
      <c r="C1067"/>
      <c r="D1067"/>
    </row>
    <row r="1068" spans="1:4" x14ac:dyDescent="0.35">
      <c r="A1068"/>
      <c r="B1068"/>
      <c r="C1068"/>
      <c r="D1068"/>
    </row>
    <row r="1069" spans="1:4" x14ac:dyDescent="0.35">
      <c r="A1069"/>
      <c r="B1069"/>
      <c r="C1069"/>
      <c r="D1069"/>
    </row>
    <row r="1070" spans="1:4" x14ac:dyDescent="0.35">
      <c r="A1070"/>
      <c r="B1070"/>
      <c r="C1070"/>
      <c r="D1070"/>
    </row>
    <row r="1071" spans="1:4" x14ac:dyDescent="0.35">
      <c r="A1071"/>
      <c r="B1071"/>
      <c r="C1071"/>
      <c r="D1071"/>
    </row>
    <row r="1072" spans="1:4" x14ac:dyDescent="0.35">
      <c r="A1072"/>
      <c r="B1072"/>
      <c r="C1072"/>
      <c r="D1072"/>
    </row>
    <row r="1073" spans="1:4" x14ac:dyDescent="0.35">
      <c r="A1073"/>
      <c r="B1073"/>
      <c r="C1073"/>
      <c r="D1073"/>
    </row>
    <row r="1074" spans="1:4" x14ac:dyDescent="0.35">
      <c r="A1074"/>
      <c r="B1074"/>
      <c r="C1074"/>
      <c r="D1074"/>
    </row>
    <row r="1075" spans="1:4" x14ac:dyDescent="0.35">
      <c r="A1075"/>
      <c r="B1075"/>
      <c r="C1075"/>
      <c r="D1075"/>
    </row>
    <row r="1076" spans="1:4" x14ac:dyDescent="0.35">
      <c r="A1076"/>
      <c r="B1076"/>
      <c r="C1076"/>
      <c r="D1076"/>
    </row>
    <row r="1077" spans="1:4" x14ac:dyDescent="0.35">
      <c r="A1077"/>
      <c r="B1077"/>
      <c r="C1077"/>
      <c r="D1077"/>
    </row>
    <row r="1078" spans="1:4" x14ac:dyDescent="0.35">
      <c r="A1078"/>
      <c r="B1078"/>
      <c r="C1078"/>
      <c r="D1078"/>
    </row>
    <row r="1079" spans="1:4" x14ac:dyDescent="0.35">
      <c r="A1079"/>
      <c r="B1079"/>
      <c r="C1079"/>
      <c r="D1079"/>
    </row>
    <row r="1080" spans="1:4" x14ac:dyDescent="0.35">
      <c r="A1080"/>
      <c r="B1080"/>
      <c r="C1080"/>
      <c r="D1080"/>
    </row>
    <row r="1081" spans="1:4" x14ac:dyDescent="0.35">
      <c r="A1081"/>
      <c r="B1081"/>
      <c r="C1081"/>
      <c r="D1081"/>
    </row>
    <row r="1082" spans="1:4" x14ac:dyDescent="0.35">
      <c r="A1082"/>
      <c r="B1082"/>
      <c r="C1082"/>
      <c r="D1082"/>
    </row>
    <row r="1083" spans="1:4" x14ac:dyDescent="0.35">
      <c r="A1083"/>
      <c r="B1083"/>
      <c r="C1083"/>
      <c r="D1083"/>
    </row>
    <row r="1084" spans="1:4" x14ac:dyDescent="0.35">
      <c r="A1084"/>
      <c r="B1084"/>
      <c r="C1084"/>
      <c r="D1084"/>
    </row>
    <row r="1085" spans="1:4" x14ac:dyDescent="0.35">
      <c r="A1085"/>
      <c r="B1085"/>
      <c r="C1085"/>
      <c r="D1085"/>
    </row>
    <row r="1086" spans="1:4" x14ac:dyDescent="0.35">
      <c r="A1086"/>
      <c r="B1086"/>
      <c r="C1086"/>
      <c r="D1086"/>
    </row>
    <row r="1087" spans="1:4" x14ac:dyDescent="0.35">
      <c r="A1087"/>
      <c r="B1087"/>
      <c r="C1087"/>
      <c r="D1087"/>
    </row>
    <row r="1088" spans="1:4" x14ac:dyDescent="0.35">
      <c r="A1088"/>
      <c r="B1088"/>
      <c r="C1088"/>
      <c r="D1088"/>
    </row>
    <row r="1089" spans="1:4" x14ac:dyDescent="0.35">
      <c r="A1089"/>
      <c r="B1089"/>
      <c r="C1089"/>
      <c r="D1089"/>
    </row>
    <row r="1090" spans="1:4" x14ac:dyDescent="0.35">
      <c r="A1090"/>
      <c r="B1090"/>
      <c r="C1090"/>
      <c r="D1090"/>
    </row>
    <row r="1091" spans="1:4" x14ac:dyDescent="0.35">
      <c r="A1091"/>
      <c r="B1091"/>
      <c r="C1091"/>
      <c r="D1091"/>
    </row>
    <row r="1092" spans="1:4" x14ac:dyDescent="0.35">
      <c r="A1092"/>
      <c r="B1092"/>
      <c r="C1092"/>
      <c r="D1092"/>
    </row>
    <row r="1093" spans="1:4" x14ac:dyDescent="0.35">
      <c r="A1093"/>
      <c r="B1093"/>
      <c r="C1093"/>
      <c r="D1093"/>
    </row>
    <row r="1094" spans="1:4" x14ac:dyDescent="0.35">
      <c r="A1094"/>
      <c r="B1094"/>
      <c r="C1094"/>
      <c r="D1094"/>
    </row>
    <row r="1095" spans="1:4" x14ac:dyDescent="0.35">
      <c r="A1095"/>
      <c r="B1095"/>
      <c r="C1095"/>
      <c r="D1095"/>
    </row>
    <row r="1096" spans="1:4" x14ac:dyDescent="0.35">
      <c r="A1096"/>
      <c r="B1096"/>
      <c r="C1096"/>
      <c r="D1096"/>
    </row>
    <row r="1097" spans="1:4" x14ac:dyDescent="0.35">
      <c r="A1097"/>
      <c r="B1097"/>
      <c r="C1097"/>
      <c r="D1097"/>
    </row>
    <row r="1098" spans="1:4" x14ac:dyDescent="0.35">
      <c r="A1098"/>
      <c r="B1098"/>
      <c r="C1098"/>
      <c r="D1098"/>
    </row>
    <row r="1099" spans="1:4" x14ac:dyDescent="0.35">
      <c r="A1099"/>
      <c r="B1099"/>
      <c r="C1099"/>
      <c r="D1099"/>
    </row>
    <row r="1100" spans="1:4" x14ac:dyDescent="0.35">
      <c r="A1100"/>
      <c r="B1100"/>
      <c r="C1100"/>
      <c r="D1100"/>
    </row>
    <row r="1101" spans="1:4" x14ac:dyDescent="0.35">
      <c r="A1101"/>
      <c r="B1101"/>
      <c r="C1101"/>
      <c r="D1101"/>
    </row>
    <row r="1102" spans="1:4" x14ac:dyDescent="0.35">
      <c r="A1102"/>
      <c r="B1102"/>
      <c r="C1102"/>
      <c r="D1102"/>
    </row>
    <row r="1103" spans="1:4" x14ac:dyDescent="0.35">
      <c r="A1103"/>
      <c r="B1103"/>
      <c r="C1103"/>
      <c r="D1103"/>
    </row>
    <row r="1104" spans="1:4" x14ac:dyDescent="0.35">
      <c r="A1104"/>
      <c r="B1104"/>
      <c r="C1104"/>
      <c r="D1104"/>
    </row>
    <row r="1105" spans="1:4" x14ac:dyDescent="0.35">
      <c r="A1105"/>
      <c r="B1105"/>
      <c r="C1105"/>
      <c r="D1105"/>
    </row>
    <row r="1106" spans="1:4" x14ac:dyDescent="0.35">
      <c r="A1106"/>
      <c r="B1106"/>
      <c r="C1106"/>
      <c r="D1106"/>
    </row>
    <row r="1107" spans="1:4" x14ac:dyDescent="0.35">
      <c r="A1107"/>
      <c r="B1107"/>
      <c r="C1107"/>
      <c r="D1107"/>
    </row>
    <row r="1108" spans="1:4" x14ac:dyDescent="0.35">
      <c r="A1108"/>
      <c r="B1108"/>
      <c r="C1108"/>
      <c r="D1108"/>
    </row>
    <row r="1109" spans="1:4" x14ac:dyDescent="0.35">
      <c r="A1109"/>
      <c r="B1109"/>
      <c r="C1109"/>
      <c r="D1109"/>
    </row>
    <row r="1110" spans="1:4" x14ac:dyDescent="0.35">
      <c r="A1110"/>
      <c r="B1110"/>
      <c r="C1110"/>
      <c r="D1110"/>
    </row>
    <row r="1111" spans="1:4" x14ac:dyDescent="0.35">
      <c r="A1111"/>
      <c r="B1111"/>
      <c r="C1111"/>
      <c r="D1111"/>
    </row>
    <row r="1112" spans="1:4" x14ac:dyDescent="0.35">
      <c r="A1112"/>
      <c r="B1112"/>
      <c r="C1112"/>
      <c r="D1112"/>
    </row>
    <row r="1113" spans="1:4" x14ac:dyDescent="0.35">
      <c r="A1113"/>
      <c r="B1113"/>
      <c r="C1113"/>
      <c r="D1113"/>
    </row>
    <row r="1114" spans="1:4" x14ac:dyDescent="0.35">
      <c r="A1114"/>
      <c r="B1114"/>
      <c r="C1114"/>
      <c r="D1114"/>
    </row>
    <row r="1115" spans="1:4" x14ac:dyDescent="0.35">
      <c r="A1115"/>
      <c r="B1115"/>
      <c r="C1115"/>
      <c r="D1115"/>
    </row>
    <row r="1116" spans="1:4" x14ac:dyDescent="0.35">
      <c r="A1116"/>
      <c r="B1116"/>
      <c r="C1116"/>
      <c r="D1116"/>
    </row>
    <row r="1117" spans="1:4" x14ac:dyDescent="0.35">
      <c r="A1117"/>
      <c r="B1117"/>
      <c r="C1117"/>
      <c r="D1117"/>
    </row>
    <row r="1118" spans="1:4" x14ac:dyDescent="0.35">
      <c r="A1118"/>
      <c r="B1118"/>
      <c r="C1118"/>
      <c r="D1118"/>
    </row>
    <row r="1119" spans="1:4" x14ac:dyDescent="0.35">
      <c r="A1119"/>
      <c r="B1119"/>
      <c r="C1119"/>
      <c r="D1119"/>
    </row>
    <row r="1120" spans="1:4" x14ac:dyDescent="0.35">
      <c r="A1120"/>
      <c r="B1120"/>
      <c r="C1120"/>
      <c r="D1120"/>
    </row>
    <row r="1121" spans="1:4" x14ac:dyDescent="0.35">
      <c r="A1121"/>
      <c r="B1121"/>
      <c r="C1121"/>
      <c r="D1121"/>
    </row>
    <row r="1122" spans="1:4" x14ac:dyDescent="0.35">
      <c r="A1122"/>
      <c r="B1122"/>
      <c r="C1122"/>
      <c r="D1122"/>
    </row>
    <row r="1123" spans="1:4" x14ac:dyDescent="0.35">
      <c r="A1123"/>
      <c r="B1123"/>
      <c r="C1123"/>
      <c r="D1123"/>
    </row>
    <row r="1124" spans="1:4" x14ac:dyDescent="0.35">
      <c r="A1124"/>
      <c r="B1124"/>
      <c r="C1124"/>
      <c r="D1124"/>
    </row>
    <row r="1125" spans="1:4" x14ac:dyDescent="0.35">
      <c r="A1125"/>
      <c r="B1125"/>
      <c r="C1125"/>
      <c r="D1125"/>
    </row>
    <row r="1126" spans="1:4" x14ac:dyDescent="0.35">
      <c r="A1126"/>
      <c r="B1126"/>
      <c r="C1126"/>
      <c r="D1126"/>
    </row>
    <row r="1127" spans="1:4" x14ac:dyDescent="0.35">
      <c r="A1127"/>
      <c r="B1127"/>
      <c r="C1127"/>
      <c r="D1127"/>
    </row>
    <row r="1128" spans="1:4" x14ac:dyDescent="0.35">
      <c r="A1128"/>
      <c r="B1128"/>
      <c r="C1128"/>
      <c r="D1128"/>
    </row>
    <row r="1129" spans="1:4" x14ac:dyDescent="0.35">
      <c r="A1129"/>
      <c r="B1129"/>
      <c r="C1129"/>
      <c r="D1129"/>
    </row>
    <row r="1130" spans="1:4" x14ac:dyDescent="0.35">
      <c r="A1130"/>
      <c r="B1130"/>
      <c r="C1130"/>
      <c r="D1130"/>
    </row>
    <row r="1131" spans="1:4" x14ac:dyDescent="0.35">
      <c r="A1131"/>
      <c r="B1131"/>
      <c r="C1131"/>
      <c r="D1131"/>
    </row>
    <row r="1132" spans="1:4" x14ac:dyDescent="0.35">
      <c r="A1132"/>
      <c r="B1132"/>
      <c r="C1132"/>
      <c r="D1132"/>
    </row>
    <row r="1133" spans="1:4" x14ac:dyDescent="0.35">
      <c r="A1133"/>
      <c r="B1133"/>
      <c r="C1133"/>
      <c r="D1133"/>
    </row>
    <row r="1134" spans="1:4" x14ac:dyDescent="0.35">
      <c r="A1134"/>
      <c r="B1134"/>
      <c r="C1134"/>
      <c r="D1134"/>
    </row>
    <row r="1135" spans="1:4" x14ac:dyDescent="0.35">
      <c r="A1135"/>
      <c r="B1135"/>
      <c r="C1135"/>
      <c r="D1135"/>
    </row>
    <row r="1136" spans="1:4" x14ac:dyDescent="0.35">
      <c r="A1136"/>
      <c r="B1136"/>
      <c r="C1136"/>
      <c r="D1136"/>
    </row>
    <row r="1137" spans="1:4" x14ac:dyDescent="0.35">
      <c r="A1137"/>
      <c r="B1137"/>
      <c r="C1137"/>
      <c r="D1137"/>
    </row>
    <row r="1138" spans="1:4" x14ac:dyDescent="0.35">
      <c r="A1138"/>
      <c r="B1138"/>
      <c r="C1138"/>
      <c r="D1138"/>
    </row>
    <row r="1139" spans="1:4" x14ac:dyDescent="0.35">
      <c r="A1139"/>
      <c r="B1139"/>
      <c r="C1139"/>
      <c r="D1139"/>
    </row>
    <row r="1140" spans="1:4" x14ac:dyDescent="0.35">
      <c r="A1140"/>
      <c r="B1140"/>
      <c r="C1140"/>
      <c r="D1140"/>
    </row>
    <row r="1141" spans="1:4" x14ac:dyDescent="0.35">
      <c r="A1141"/>
      <c r="B1141"/>
      <c r="C1141"/>
      <c r="D1141"/>
    </row>
    <row r="1142" spans="1:4" x14ac:dyDescent="0.35">
      <c r="A1142"/>
      <c r="B1142"/>
      <c r="C1142"/>
      <c r="D1142"/>
    </row>
    <row r="1143" spans="1:4" x14ac:dyDescent="0.35">
      <c r="A1143"/>
      <c r="B1143"/>
      <c r="C1143"/>
      <c r="D1143"/>
    </row>
    <row r="1144" spans="1:4" x14ac:dyDescent="0.35">
      <c r="A1144"/>
      <c r="B1144"/>
      <c r="C1144"/>
      <c r="D1144"/>
    </row>
    <row r="1145" spans="1:4" x14ac:dyDescent="0.35">
      <c r="A1145"/>
      <c r="B1145"/>
      <c r="C1145"/>
      <c r="D1145"/>
    </row>
    <row r="1146" spans="1:4" x14ac:dyDescent="0.35">
      <c r="A1146"/>
      <c r="B1146"/>
      <c r="C1146"/>
      <c r="D1146"/>
    </row>
    <row r="1147" spans="1:4" x14ac:dyDescent="0.35">
      <c r="A1147"/>
      <c r="B1147"/>
      <c r="C1147"/>
      <c r="D1147"/>
    </row>
    <row r="1148" spans="1:4" x14ac:dyDescent="0.35">
      <c r="A1148"/>
      <c r="B1148"/>
      <c r="C1148"/>
      <c r="D1148"/>
    </row>
    <row r="1149" spans="1:4" x14ac:dyDescent="0.35">
      <c r="A1149"/>
      <c r="B1149"/>
      <c r="C1149"/>
      <c r="D1149"/>
    </row>
    <row r="1150" spans="1:4" x14ac:dyDescent="0.35">
      <c r="A1150"/>
      <c r="B1150"/>
      <c r="C1150"/>
      <c r="D1150"/>
    </row>
    <row r="1151" spans="1:4" x14ac:dyDescent="0.35">
      <c r="A1151"/>
      <c r="B1151"/>
      <c r="C1151"/>
      <c r="D1151"/>
    </row>
    <row r="1152" spans="1:4" x14ac:dyDescent="0.35">
      <c r="A1152"/>
      <c r="B1152"/>
      <c r="C1152"/>
      <c r="D1152"/>
    </row>
    <row r="1153" spans="1:4" x14ac:dyDescent="0.35">
      <c r="A1153"/>
      <c r="B1153"/>
      <c r="C1153"/>
      <c r="D1153"/>
    </row>
    <row r="1154" spans="1:4" x14ac:dyDescent="0.35">
      <c r="A1154"/>
      <c r="B1154"/>
      <c r="C1154"/>
      <c r="D1154"/>
    </row>
    <row r="1155" spans="1:4" x14ac:dyDescent="0.35">
      <c r="A1155"/>
      <c r="B1155"/>
      <c r="C1155"/>
      <c r="D1155"/>
    </row>
    <row r="1156" spans="1:4" x14ac:dyDescent="0.35">
      <c r="A1156"/>
      <c r="B1156"/>
      <c r="C1156"/>
      <c r="D1156"/>
    </row>
    <row r="1157" spans="1:4" x14ac:dyDescent="0.35">
      <c r="A1157"/>
      <c r="B1157"/>
      <c r="C1157"/>
      <c r="D1157"/>
    </row>
    <row r="1158" spans="1:4" x14ac:dyDescent="0.35">
      <c r="A1158"/>
      <c r="B1158"/>
      <c r="C1158"/>
      <c r="D1158"/>
    </row>
    <row r="1159" spans="1:4" x14ac:dyDescent="0.35">
      <c r="A1159"/>
      <c r="B1159"/>
      <c r="C1159"/>
      <c r="D1159"/>
    </row>
    <row r="1160" spans="1:4" x14ac:dyDescent="0.35">
      <c r="A1160"/>
      <c r="B1160"/>
      <c r="C1160"/>
      <c r="D1160"/>
    </row>
    <row r="1161" spans="1:4" x14ac:dyDescent="0.35">
      <c r="A1161"/>
      <c r="B1161"/>
      <c r="C1161"/>
      <c r="D1161"/>
    </row>
    <row r="1162" spans="1:4" x14ac:dyDescent="0.35">
      <c r="A1162"/>
      <c r="B1162"/>
      <c r="C1162"/>
      <c r="D1162"/>
    </row>
    <row r="1163" spans="1:4" x14ac:dyDescent="0.35">
      <c r="A1163"/>
      <c r="B1163"/>
      <c r="C1163"/>
      <c r="D1163"/>
    </row>
    <row r="1164" spans="1:4" x14ac:dyDescent="0.35">
      <c r="A1164"/>
      <c r="B1164"/>
      <c r="C1164"/>
      <c r="D1164"/>
    </row>
    <row r="1165" spans="1:4" x14ac:dyDescent="0.35">
      <c r="A1165"/>
      <c r="B1165"/>
      <c r="C1165"/>
      <c r="D1165"/>
    </row>
    <row r="1166" spans="1:4" x14ac:dyDescent="0.35">
      <c r="A1166"/>
      <c r="B1166"/>
      <c r="C1166"/>
      <c r="D1166"/>
    </row>
    <row r="1167" spans="1:4" x14ac:dyDescent="0.35">
      <c r="A1167"/>
      <c r="B1167"/>
      <c r="C1167"/>
      <c r="D1167"/>
    </row>
    <row r="1168" spans="1:4" x14ac:dyDescent="0.35">
      <c r="A1168"/>
      <c r="B1168"/>
      <c r="C1168"/>
      <c r="D1168"/>
    </row>
    <row r="1169" spans="1:4" x14ac:dyDescent="0.35">
      <c r="A1169"/>
      <c r="B1169"/>
      <c r="C1169"/>
      <c r="D1169"/>
    </row>
    <row r="1170" spans="1:4" x14ac:dyDescent="0.35">
      <c r="A1170"/>
      <c r="B1170"/>
      <c r="C1170"/>
      <c r="D1170"/>
    </row>
    <row r="1171" spans="1:4" x14ac:dyDescent="0.35">
      <c r="A1171"/>
      <c r="B1171"/>
      <c r="C1171"/>
      <c r="D1171"/>
    </row>
    <row r="1172" spans="1:4" x14ac:dyDescent="0.35">
      <c r="A1172"/>
      <c r="B1172"/>
      <c r="C1172"/>
      <c r="D1172"/>
    </row>
    <row r="1173" spans="1:4" x14ac:dyDescent="0.35">
      <c r="A1173"/>
      <c r="B1173"/>
      <c r="C1173"/>
      <c r="D1173"/>
    </row>
    <row r="1174" spans="1:4" x14ac:dyDescent="0.35">
      <c r="A1174"/>
      <c r="B1174"/>
      <c r="C1174"/>
      <c r="D1174"/>
    </row>
    <row r="1175" spans="1:4" x14ac:dyDescent="0.35">
      <c r="A1175"/>
      <c r="B1175"/>
      <c r="C1175"/>
      <c r="D1175"/>
    </row>
    <row r="1176" spans="1:4" x14ac:dyDescent="0.35">
      <c r="A1176"/>
      <c r="B1176"/>
      <c r="C1176"/>
      <c r="D1176"/>
    </row>
    <row r="1177" spans="1:4" x14ac:dyDescent="0.35">
      <c r="A1177"/>
      <c r="B1177"/>
      <c r="C1177"/>
      <c r="D1177"/>
    </row>
    <row r="1178" spans="1:4" x14ac:dyDescent="0.35">
      <c r="A1178"/>
      <c r="B1178"/>
      <c r="C1178"/>
      <c r="D1178"/>
    </row>
    <row r="1179" spans="1:4" x14ac:dyDescent="0.35">
      <c r="A1179"/>
      <c r="B1179"/>
      <c r="C1179"/>
      <c r="D1179"/>
    </row>
    <row r="1180" spans="1:4" x14ac:dyDescent="0.35">
      <c r="A1180"/>
      <c r="B1180"/>
      <c r="C1180"/>
      <c r="D1180"/>
    </row>
    <row r="1181" spans="1:4" x14ac:dyDescent="0.35">
      <c r="A1181"/>
      <c r="B1181"/>
      <c r="C1181"/>
      <c r="D1181"/>
    </row>
    <row r="1182" spans="1:4" x14ac:dyDescent="0.35">
      <c r="A1182"/>
      <c r="B1182"/>
      <c r="C1182"/>
      <c r="D1182"/>
    </row>
    <row r="1183" spans="1:4" x14ac:dyDescent="0.35">
      <c r="A1183"/>
      <c r="B1183"/>
      <c r="C1183"/>
      <c r="D1183"/>
    </row>
    <row r="1184" spans="1:4" x14ac:dyDescent="0.35">
      <c r="A1184"/>
      <c r="B1184"/>
      <c r="C1184"/>
      <c r="D1184"/>
    </row>
    <row r="1185" spans="1:4" x14ac:dyDescent="0.35">
      <c r="A1185"/>
      <c r="B1185"/>
      <c r="C1185"/>
      <c r="D1185"/>
    </row>
    <row r="1186" spans="1:4" x14ac:dyDescent="0.35">
      <c r="A1186"/>
      <c r="B1186"/>
      <c r="C1186"/>
      <c r="D1186"/>
    </row>
    <row r="1187" spans="1:4" x14ac:dyDescent="0.35">
      <c r="A1187"/>
      <c r="B1187"/>
      <c r="C1187"/>
      <c r="D1187"/>
    </row>
    <row r="1188" spans="1:4" x14ac:dyDescent="0.35">
      <c r="A1188"/>
      <c r="B1188"/>
      <c r="C1188"/>
      <c r="D1188"/>
    </row>
    <row r="1189" spans="1:4" x14ac:dyDescent="0.35">
      <c r="A1189"/>
      <c r="B1189"/>
      <c r="C1189"/>
      <c r="D1189"/>
    </row>
    <row r="1190" spans="1:4" x14ac:dyDescent="0.35">
      <c r="A1190"/>
      <c r="B1190"/>
      <c r="C1190"/>
      <c r="D1190"/>
    </row>
    <row r="1191" spans="1:4" x14ac:dyDescent="0.35">
      <c r="A1191"/>
      <c r="B1191"/>
      <c r="C1191"/>
      <c r="D1191"/>
    </row>
    <row r="1192" spans="1:4" x14ac:dyDescent="0.35">
      <c r="A1192"/>
      <c r="B1192"/>
      <c r="C1192"/>
      <c r="D1192"/>
    </row>
    <row r="1193" spans="1:4" x14ac:dyDescent="0.35">
      <c r="A1193"/>
      <c r="B1193"/>
      <c r="C1193"/>
      <c r="D1193"/>
    </row>
    <row r="1194" spans="1:4" x14ac:dyDescent="0.35">
      <c r="A1194"/>
      <c r="B1194"/>
      <c r="C1194"/>
      <c r="D1194"/>
    </row>
    <row r="1195" spans="1:4" x14ac:dyDescent="0.35">
      <c r="A1195"/>
      <c r="B1195"/>
      <c r="C1195"/>
      <c r="D1195"/>
    </row>
    <row r="1196" spans="1:4" x14ac:dyDescent="0.35">
      <c r="A1196"/>
      <c r="B1196"/>
      <c r="C1196"/>
      <c r="D1196"/>
    </row>
    <row r="1197" spans="1:4" x14ac:dyDescent="0.35">
      <c r="A1197"/>
      <c r="B1197"/>
      <c r="C1197"/>
      <c r="D1197"/>
    </row>
    <row r="1198" spans="1:4" x14ac:dyDescent="0.35">
      <c r="A1198"/>
      <c r="B1198"/>
      <c r="C1198"/>
      <c r="D1198"/>
    </row>
    <row r="1199" spans="1:4" x14ac:dyDescent="0.35">
      <c r="A1199"/>
      <c r="B1199"/>
      <c r="C1199"/>
      <c r="D1199"/>
    </row>
    <row r="1200" spans="1:4" x14ac:dyDescent="0.35">
      <c r="A1200"/>
      <c r="B1200"/>
      <c r="C1200"/>
      <c r="D1200"/>
    </row>
    <row r="1201" spans="1:4" x14ac:dyDescent="0.35">
      <c r="A1201"/>
      <c r="B1201"/>
      <c r="C1201"/>
      <c r="D1201"/>
    </row>
    <row r="1202" spans="1:4" x14ac:dyDescent="0.35">
      <c r="A1202"/>
      <c r="B1202"/>
      <c r="C1202"/>
      <c r="D1202"/>
    </row>
    <row r="1203" spans="1:4" x14ac:dyDescent="0.35">
      <c r="A1203"/>
      <c r="B1203"/>
      <c r="C1203"/>
      <c r="D1203"/>
    </row>
    <row r="1204" spans="1:4" x14ac:dyDescent="0.35">
      <c r="A1204"/>
      <c r="B1204"/>
      <c r="C1204"/>
      <c r="D1204"/>
    </row>
    <row r="1205" spans="1:4" x14ac:dyDescent="0.35">
      <c r="A1205"/>
      <c r="B1205"/>
      <c r="C1205"/>
      <c r="D1205"/>
    </row>
    <row r="1206" spans="1:4" x14ac:dyDescent="0.35">
      <c r="A1206"/>
      <c r="B1206"/>
      <c r="C1206"/>
      <c r="D1206"/>
    </row>
    <row r="1207" spans="1:4" x14ac:dyDescent="0.35">
      <c r="A1207"/>
      <c r="B1207"/>
      <c r="C1207"/>
      <c r="D1207"/>
    </row>
    <row r="1208" spans="1:4" x14ac:dyDescent="0.35">
      <c r="A1208"/>
      <c r="B1208"/>
      <c r="C1208"/>
      <c r="D1208"/>
    </row>
    <row r="1209" spans="1:4" x14ac:dyDescent="0.35">
      <c r="A1209"/>
      <c r="B1209"/>
      <c r="C1209"/>
      <c r="D1209"/>
    </row>
    <row r="1210" spans="1:4" x14ac:dyDescent="0.35">
      <c r="A1210"/>
      <c r="B1210"/>
      <c r="C1210"/>
      <c r="D1210"/>
    </row>
    <row r="1211" spans="1:4" x14ac:dyDescent="0.35">
      <c r="A1211"/>
      <c r="B1211"/>
      <c r="C1211"/>
      <c r="D1211"/>
    </row>
    <row r="1212" spans="1:4" x14ac:dyDescent="0.35">
      <c r="A1212"/>
      <c r="B1212"/>
      <c r="C1212"/>
      <c r="D1212"/>
    </row>
    <row r="1213" spans="1:4" x14ac:dyDescent="0.35">
      <c r="A1213"/>
      <c r="B1213"/>
      <c r="C1213"/>
      <c r="D1213"/>
    </row>
    <row r="1214" spans="1:4" x14ac:dyDescent="0.35">
      <c r="A1214"/>
      <c r="B1214"/>
      <c r="C1214"/>
      <c r="D1214"/>
    </row>
    <row r="1215" spans="1:4" x14ac:dyDescent="0.35">
      <c r="A1215"/>
      <c r="B1215"/>
      <c r="C1215"/>
      <c r="D1215"/>
    </row>
    <row r="1216" spans="1:4" x14ac:dyDescent="0.35">
      <c r="A1216"/>
      <c r="B1216"/>
      <c r="C1216"/>
      <c r="D1216"/>
    </row>
    <row r="1217" spans="1:4" x14ac:dyDescent="0.35">
      <c r="A1217"/>
      <c r="B1217"/>
      <c r="C1217"/>
      <c r="D1217"/>
    </row>
    <row r="1218" spans="1:4" x14ac:dyDescent="0.35">
      <c r="A1218"/>
      <c r="B1218"/>
      <c r="C1218"/>
      <c r="D1218"/>
    </row>
    <row r="1219" spans="1:4" x14ac:dyDescent="0.35">
      <c r="A1219"/>
      <c r="B1219"/>
      <c r="C1219"/>
      <c r="D1219"/>
    </row>
    <row r="1220" spans="1:4" x14ac:dyDescent="0.35">
      <c r="A1220"/>
      <c r="B1220"/>
      <c r="C1220"/>
      <c r="D1220"/>
    </row>
    <row r="1221" spans="1:4" x14ac:dyDescent="0.35">
      <c r="A1221"/>
      <c r="B1221"/>
      <c r="C1221"/>
      <c r="D1221"/>
    </row>
    <row r="1222" spans="1:4" x14ac:dyDescent="0.35">
      <c r="A1222"/>
      <c r="B1222"/>
      <c r="C1222"/>
      <c r="D1222"/>
    </row>
    <row r="1223" spans="1:4" x14ac:dyDescent="0.35">
      <c r="A1223"/>
      <c r="B1223"/>
      <c r="C1223"/>
      <c r="D1223"/>
    </row>
    <row r="1224" spans="1:4" x14ac:dyDescent="0.35">
      <c r="A1224"/>
      <c r="B1224"/>
      <c r="C1224"/>
      <c r="D1224"/>
    </row>
    <row r="1225" spans="1:4" x14ac:dyDescent="0.35">
      <c r="A1225"/>
      <c r="B1225"/>
      <c r="C1225"/>
      <c r="D1225"/>
    </row>
    <row r="1226" spans="1:4" x14ac:dyDescent="0.35">
      <c r="A1226"/>
      <c r="B1226"/>
      <c r="C1226"/>
      <c r="D1226"/>
    </row>
    <row r="1227" spans="1:4" x14ac:dyDescent="0.35">
      <c r="A1227"/>
      <c r="B1227"/>
      <c r="C1227"/>
      <c r="D1227"/>
    </row>
    <row r="1228" spans="1:4" x14ac:dyDescent="0.35">
      <c r="A1228"/>
      <c r="B1228"/>
      <c r="C1228"/>
      <c r="D1228"/>
    </row>
    <row r="1229" spans="1:4" x14ac:dyDescent="0.35">
      <c r="A1229"/>
      <c r="B1229"/>
      <c r="C1229"/>
      <c r="D1229"/>
    </row>
    <row r="1230" spans="1:4" x14ac:dyDescent="0.35">
      <c r="A1230"/>
      <c r="B1230"/>
      <c r="C1230"/>
      <c r="D1230"/>
    </row>
    <row r="1231" spans="1:4" x14ac:dyDescent="0.35">
      <c r="A1231"/>
      <c r="B1231"/>
      <c r="C1231"/>
      <c r="D1231"/>
    </row>
    <row r="1232" spans="1:4" x14ac:dyDescent="0.35">
      <c r="A1232"/>
      <c r="B1232"/>
      <c r="C1232"/>
      <c r="D1232"/>
    </row>
    <row r="1233" spans="1:4" x14ac:dyDescent="0.35">
      <c r="A1233"/>
      <c r="B1233"/>
      <c r="C1233"/>
      <c r="D1233"/>
    </row>
    <row r="1234" spans="1:4" x14ac:dyDescent="0.35">
      <c r="A1234"/>
      <c r="B1234"/>
      <c r="C1234"/>
      <c r="D1234"/>
    </row>
    <row r="1235" spans="1:4" x14ac:dyDescent="0.35">
      <c r="A1235"/>
      <c r="B1235"/>
      <c r="C1235"/>
      <c r="D1235"/>
    </row>
    <row r="1236" spans="1:4" x14ac:dyDescent="0.35">
      <c r="A1236"/>
      <c r="B1236"/>
      <c r="C1236"/>
      <c r="D1236"/>
    </row>
    <row r="1237" spans="1:4" x14ac:dyDescent="0.35">
      <c r="A1237"/>
      <c r="B1237"/>
      <c r="C1237"/>
      <c r="D1237"/>
    </row>
    <row r="1238" spans="1:4" x14ac:dyDescent="0.35">
      <c r="A1238"/>
      <c r="B1238"/>
      <c r="C1238"/>
      <c r="D1238"/>
    </row>
    <row r="1239" spans="1:4" x14ac:dyDescent="0.35">
      <c r="A1239"/>
      <c r="B1239"/>
      <c r="C1239"/>
      <c r="D1239"/>
    </row>
    <row r="1240" spans="1:4" x14ac:dyDescent="0.35">
      <c r="A1240"/>
      <c r="B1240"/>
      <c r="C1240"/>
      <c r="D1240"/>
    </row>
    <row r="1241" spans="1:4" x14ac:dyDescent="0.35">
      <c r="A1241"/>
      <c r="B1241"/>
      <c r="C1241"/>
      <c r="D1241"/>
    </row>
    <row r="1242" spans="1:4" x14ac:dyDescent="0.35">
      <c r="A1242"/>
      <c r="B1242"/>
      <c r="C1242"/>
      <c r="D1242"/>
    </row>
    <row r="1243" spans="1:4" x14ac:dyDescent="0.35">
      <c r="A1243"/>
      <c r="B1243"/>
      <c r="C1243"/>
      <c r="D1243"/>
    </row>
    <row r="1244" spans="1:4" x14ac:dyDescent="0.35">
      <c r="A1244"/>
      <c r="B1244"/>
      <c r="C1244"/>
      <c r="D1244"/>
    </row>
    <row r="1245" spans="1:4" x14ac:dyDescent="0.35">
      <c r="A1245"/>
      <c r="B1245"/>
      <c r="C1245"/>
      <c r="D1245"/>
    </row>
    <row r="1246" spans="1:4" x14ac:dyDescent="0.35">
      <c r="A1246"/>
      <c r="B1246"/>
      <c r="C1246"/>
      <c r="D1246"/>
    </row>
    <row r="1247" spans="1:4" x14ac:dyDescent="0.35">
      <c r="A1247"/>
      <c r="B1247"/>
      <c r="C1247"/>
      <c r="D1247"/>
    </row>
    <row r="1248" spans="1:4" x14ac:dyDescent="0.35">
      <c r="A1248"/>
      <c r="B1248"/>
      <c r="C1248"/>
      <c r="D1248"/>
    </row>
    <row r="1249" spans="1:4" x14ac:dyDescent="0.35">
      <c r="A1249"/>
      <c r="B1249"/>
      <c r="C1249"/>
      <c r="D1249"/>
    </row>
    <row r="1250" spans="1:4" x14ac:dyDescent="0.35">
      <c r="A1250"/>
      <c r="B1250"/>
      <c r="C1250"/>
      <c r="D1250"/>
    </row>
    <row r="1251" spans="1:4" x14ac:dyDescent="0.35">
      <c r="A1251"/>
      <c r="B1251"/>
      <c r="C1251"/>
      <c r="D1251"/>
    </row>
    <row r="1252" spans="1:4" x14ac:dyDescent="0.35">
      <c r="A1252"/>
      <c r="B1252"/>
      <c r="C1252"/>
      <c r="D1252"/>
    </row>
    <row r="1253" spans="1:4" x14ac:dyDescent="0.35">
      <c r="A1253"/>
      <c r="B1253"/>
      <c r="C1253"/>
      <c r="D1253"/>
    </row>
    <row r="1254" spans="1:4" x14ac:dyDescent="0.35">
      <c r="A1254"/>
      <c r="B1254"/>
      <c r="C1254"/>
      <c r="D1254"/>
    </row>
    <row r="1255" spans="1:4" x14ac:dyDescent="0.35">
      <c r="A1255"/>
      <c r="B1255"/>
      <c r="C1255"/>
      <c r="D1255"/>
    </row>
    <row r="1256" spans="1:4" x14ac:dyDescent="0.35">
      <c r="A1256"/>
      <c r="B1256"/>
      <c r="C1256"/>
      <c r="D1256"/>
    </row>
    <row r="1257" spans="1:4" x14ac:dyDescent="0.35">
      <c r="A1257"/>
      <c r="B1257"/>
      <c r="C1257"/>
      <c r="D1257"/>
    </row>
    <row r="1258" spans="1:4" x14ac:dyDescent="0.35">
      <c r="A1258"/>
      <c r="B1258"/>
      <c r="C1258"/>
      <c r="D1258"/>
    </row>
    <row r="1259" spans="1:4" x14ac:dyDescent="0.35">
      <c r="A1259"/>
      <c r="B1259"/>
      <c r="C1259"/>
      <c r="D1259"/>
    </row>
    <row r="1260" spans="1:4" x14ac:dyDescent="0.35">
      <c r="A1260"/>
      <c r="B1260"/>
      <c r="C1260"/>
      <c r="D1260"/>
    </row>
    <row r="1261" spans="1:4" x14ac:dyDescent="0.35">
      <c r="A1261"/>
      <c r="B1261"/>
      <c r="C1261"/>
      <c r="D1261"/>
    </row>
    <row r="1262" spans="1:4" x14ac:dyDescent="0.35">
      <c r="A1262"/>
      <c r="B1262"/>
      <c r="C1262"/>
      <c r="D1262"/>
    </row>
    <row r="1263" spans="1:4" x14ac:dyDescent="0.35">
      <c r="A1263"/>
      <c r="B1263"/>
      <c r="C1263"/>
      <c r="D1263"/>
    </row>
    <row r="1264" spans="1:4" x14ac:dyDescent="0.35">
      <c r="A1264"/>
      <c r="B1264"/>
      <c r="C1264"/>
      <c r="D1264"/>
    </row>
    <row r="1265" spans="1:4" x14ac:dyDescent="0.35">
      <c r="A1265"/>
      <c r="B1265"/>
      <c r="C1265"/>
      <c r="D1265"/>
    </row>
    <row r="1266" spans="1:4" x14ac:dyDescent="0.35">
      <c r="A1266"/>
      <c r="B1266"/>
      <c r="C1266"/>
      <c r="D1266"/>
    </row>
    <row r="1267" spans="1:4" x14ac:dyDescent="0.35">
      <c r="A1267"/>
      <c r="B1267"/>
      <c r="C1267"/>
      <c r="D1267"/>
    </row>
    <row r="1268" spans="1:4" x14ac:dyDescent="0.35">
      <c r="A1268"/>
      <c r="B1268"/>
      <c r="C1268"/>
      <c r="D1268"/>
    </row>
    <row r="1269" spans="1:4" x14ac:dyDescent="0.35">
      <c r="A1269"/>
      <c r="B1269"/>
      <c r="C1269"/>
      <c r="D1269"/>
    </row>
    <row r="1270" spans="1:4" x14ac:dyDescent="0.35">
      <c r="A1270"/>
      <c r="B1270"/>
      <c r="C1270"/>
      <c r="D1270"/>
    </row>
    <row r="1271" spans="1:4" x14ac:dyDescent="0.35">
      <c r="A1271"/>
      <c r="B1271"/>
      <c r="C1271"/>
      <c r="D1271"/>
    </row>
    <row r="1272" spans="1:4" x14ac:dyDescent="0.35">
      <c r="A1272"/>
      <c r="B1272"/>
      <c r="C1272"/>
      <c r="D1272"/>
    </row>
    <row r="1273" spans="1:4" x14ac:dyDescent="0.35">
      <c r="A1273"/>
      <c r="B1273"/>
      <c r="C1273"/>
      <c r="D1273"/>
    </row>
    <row r="1274" spans="1:4" x14ac:dyDescent="0.35">
      <c r="A1274"/>
      <c r="B1274"/>
      <c r="C1274"/>
      <c r="D1274"/>
    </row>
    <row r="1275" spans="1:4" x14ac:dyDescent="0.35">
      <c r="A1275"/>
      <c r="B1275"/>
      <c r="C1275"/>
      <c r="D1275"/>
    </row>
    <row r="1276" spans="1:4" x14ac:dyDescent="0.35">
      <c r="A1276"/>
      <c r="B1276"/>
      <c r="C1276"/>
      <c r="D1276"/>
    </row>
    <row r="1277" spans="1:4" x14ac:dyDescent="0.35">
      <c r="A1277"/>
      <c r="B1277"/>
      <c r="C1277"/>
      <c r="D1277"/>
    </row>
    <row r="1278" spans="1:4" x14ac:dyDescent="0.35">
      <c r="A1278"/>
      <c r="B1278"/>
      <c r="C1278"/>
      <c r="D1278"/>
    </row>
    <row r="1279" spans="1:4" x14ac:dyDescent="0.35">
      <c r="A1279"/>
      <c r="B1279"/>
      <c r="C1279"/>
      <c r="D1279"/>
    </row>
    <row r="1280" spans="1:4" x14ac:dyDescent="0.35">
      <c r="A1280"/>
      <c r="B1280"/>
      <c r="C1280"/>
      <c r="D1280"/>
    </row>
    <row r="1281" spans="1:4" x14ac:dyDescent="0.35">
      <c r="A1281"/>
      <c r="B1281"/>
      <c r="C1281"/>
      <c r="D1281"/>
    </row>
    <row r="1282" spans="1:4" x14ac:dyDescent="0.35">
      <c r="A1282"/>
      <c r="B1282"/>
      <c r="C1282"/>
      <c r="D1282"/>
    </row>
    <row r="1283" spans="1:4" x14ac:dyDescent="0.35">
      <c r="A1283"/>
      <c r="B1283"/>
      <c r="C1283"/>
      <c r="D1283"/>
    </row>
    <row r="1284" spans="1:4" x14ac:dyDescent="0.35">
      <c r="A1284"/>
      <c r="B1284"/>
      <c r="C1284"/>
      <c r="D1284"/>
    </row>
    <row r="1285" spans="1:4" x14ac:dyDescent="0.35">
      <c r="A1285"/>
      <c r="B1285"/>
      <c r="C1285"/>
      <c r="D1285"/>
    </row>
    <row r="1286" spans="1:4" x14ac:dyDescent="0.35">
      <c r="A1286"/>
      <c r="B1286"/>
      <c r="C1286"/>
      <c r="D1286"/>
    </row>
    <row r="1287" spans="1:4" x14ac:dyDescent="0.35">
      <c r="A1287"/>
      <c r="B1287"/>
      <c r="C1287"/>
      <c r="D1287"/>
    </row>
    <row r="1288" spans="1:4" x14ac:dyDescent="0.35">
      <c r="A1288"/>
      <c r="B1288"/>
      <c r="C1288"/>
      <c r="D1288"/>
    </row>
    <row r="1289" spans="1:4" x14ac:dyDescent="0.35">
      <c r="A1289"/>
      <c r="B1289"/>
      <c r="C1289"/>
      <c r="D1289"/>
    </row>
    <row r="1290" spans="1:4" x14ac:dyDescent="0.35">
      <c r="A1290"/>
      <c r="B1290"/>
      <c r="C1290"/>
      <c r="D1290"/>
    </row>
    <row r="1291" spans="1:4" x14ac:dyDescent="0.35">
      <c r="A1291"/>
      <c r="B1291"/>
      <c r="C1291"/>
      <c r="D1291"/>
    </row>
    <row r="1292" spans="1:4" x14ac:dyDescent="0.35">
      <c r="A1292"/>
      <c r="B1292"/>
      <c r="C1292"/>
      <c r="D1292"/>
    </row>
    <row r="1293" spans="1:4" x14ac:dyDescent="0.35">
      <c r="A1293"/>
      <c r="B1293"/>
      <c r="C1293"/>
      <c r="D1293"/>
    </row>
    <row r="1294" spans="1:4" x14ac:dyDescent="0.35">
      <c r="A1294"/>
      <c r="B1294"/>
      <c r="C1294"/>
      <c r="D1294"/>
    </row>
    <row r="1295" spans="1:4" x14ac:dyDescent="0.35">
      <c r="A1295"/>
      <c r="B1295"/>
      <c r="C1295"/>
      <c r="D1295"/>
    </row>
    <row r="1296" spans="1:4" x14ac:dyDescent="0.35">
      <c r="A1296"/>
      <c r="B1296"/>
      <c r="C1296"/>
      <c r="D1296"/>
    </row>
    <row r="1297" spans="1:4" x14ac:dyDescent="0.35">
      <c r="A1297"/>
      <c r="B1297"/>
      <c r="C1297"/>
      <c r="D1297"/>
    </row>
    <row r="1298" spans="1:4" x14ac:dyDescent="0.35">
      <c r="A1298"/>
      <c r="B1298"/>
      <c r="C1298"/>
      <c r="D1298"/>
    </row>
    <row r="1299" spans="1:4" x14ac:dyDescent="0.35">
      <c r="A1299"/>
      <c r="B1299"/>
      <c r="C1299"/>
      <c r="D1299"/>
    </row>
    <row r="1300" spans="1:4" x14ac:dyDescent="0.35">
      <c r="A1300"/>
      <c r="B1300"/>
      <c r="C1300"/>
      <c r="D1300"/>
    </row>
    <row r="1301" spans="1:4" x14ac:dyDescent="0.35">
      <c r="A1301"/>
      <c r="B1301"/>
      <c r="C1301"/>
      <c r="D1301"/>
    </row>
    <row r="1302" spans="1:4" x14ac:dyDescent="0.35">
      <c r="A1302"/>
      <c r="B1302"/>
      <c r="C1302"/>
      <c r="D1302"/>
    </row>
    <row r="1303" spans="1:4" x14ac:dyDescent="0.35">
      <c r="A1303"/>
      <c r="B1303"/>
      <c r="C1303"/>
      <c r="D1303"/>
    </row>
    <row r="1304" spans="1:4" x14ac:dyDescent="0.35">
      <c r="A1304"/>
      <c r="B1304"/>
      <c r="C1304"/>
      <c r="D1304"/>
    </row>
    <row r="1305" spans="1:4" x14ac:dyDescent="0.35">
      <c r="A1305"/>
      <c r="B1305"/>
      <c r="C1305"/>
      <c r="D1305"/>
    </row>
    <row r="1306" spans="1:4" x14ac:dyDescent="0.35">
      <c r="A1306"/>
      <c r="B1306"/>
      <c r="C1306"/>
      <c r="D1306"/>
    </row>
    <row r="1307" spans="1:4" x14ac:dyDescent="0.35">
      <c r="A1307"/>
      <c r="B1307"/>
      <c r="C1307"/>
      <c r="D1307"/>
    </row>
    <row r="1308" spans="1:4" x14ac:dyDescent="0.35">
      <c r="A1308"/>
      <c r="B1308"/>
      <c r="C1308"/>
      <c r="D1308"/>
    </row>
    <row r="1309" spans="1:4" x14ac:dyDescent="0.35">
      <c r="A1309"/>
      <c r="B1309"/>
      <c r="C1309"/>
      <c r="D1309"/>
    </row>
    <row r="1310" spans="1:4" x14ac:dyDescent="0.35">
      <c r="A1310"/>
      <c r="B1310"/>
      <c r="C1310"/>
      <c r="D1310"/>
    </row>
    <row r="1311" spans="1:4" x14ac:dyDescent="0.35">
      <c r="A1311"/>
      <c r="B1311"/>
      <c r="C1311"/>
      <c r="D1311"/>
    </row>
    <row r="1312" spans="1:4" x14ac:dyDescent="0.35">
      <c r="A1312"/>
      <c r="B1312"/>
      <c r="C1312"/>
      <c r="D1312"/>
    </row>
    <row r="1313" spans="1:4" x14ac:dyDescent="0.35">
      <c r="A1313"/>
      <c r="B1313"/>
      <c r="C1313"/>
      <c r="D1313"/>
    </row>
    <row r="1314" spans="1:4" x14ac:dyDescent="0.35">
      <c r="A1314"/>
      <c r="B1314"/>
      <c r="C1314"/>
      <c r="D1314"/>
    </row>
    <row r="1315" spans="1:4" x14ac:dyDescent="0.35">
      <c r="A1315"/>
      <c r="B1315"/>
      <c r="C1315"/>
      <c r="D1315"/>
    </row>
    <row r="1316" spans="1:4" x14ac:dyDescent="0.35">
      <c r="A1316"/>
      <c r="B1316"/>
      <c r="C1316"/>
      <c r="D1316"/>
    </row>
    <row r="1317" spans="1:4" x14ac:dyDescent="0.35">
      <c r="A1317"/>
      <c r="B1317"/>
      <c r="C1317"/>
      <c r="D1317"/>
    </row>
    <row r="1318" spans="1:4" x14ac:dyDescent="0.35">
      <c r="A1318"/>
      <c r="B1318"/>
      <c r="C1318"/>
      <c r="D1318"/>
    </row>
    <row r="1319" spans="1:4" x14ac:dyDescent="0.35">
      <c r="A1319"/>
      <c r="B1319"/>
      <c r="C1319"/>
      <c r="D1319"/>
    </row>
    <row r="1320" spans="1:4" x14ac:dyDescent="0.35">
      <c r="A1320"/>
      <c r="B1320"/>
      <c r="C1320"/>
      <c r="D1320"/>
    </row>
    <row r="1321" spans="1:4" x14ac:dyDescent="0.35">
      <c r="A1321"/>
      <c r="B1321"/>
      <c r="C1321"/>
      <c r="D1321"/>
    </row>
    <row r="1322" spans="1:4" x14ac:dyDescent="0.35">
      <c r="A1322"/>
      <c r="B1322"/>
      <c r="C1322"/>
      <c r="D1322"/>
    </row>
    <row r="1323" spans="1:4" x14ac:dyDescent="0.35">
      <c r="A1323"/>
      <c r="B1323"/>
      <c r="C1323"/>
      <c r="D1323"/>
    </row>
    <row r="1324" spans="1:4" x14ac:dyDescent="0.35">
      <c r="A1324"/>
      <c r="B1324"/>
      <c r="C1324"/>
      <c r="D1324"/>
    </row>
    <row r="1325" spans="1:4" x14ac:dyDescent="0.35">
      <c r="A1325"/>
      <c r="B1325"/>
      <c r="C1325"/>
      <c r="D1325"/>
    </row>
    <row r="1326" spans="1:4" x14ac:dyDescent="0.35">
      <c r="A1326"/>
      <c r="B1326"/>
      <c r="C1326"/>
      <c r="D1326"/>
    </row>
    <row r="1327" spans="1:4" x14ac:dyDescent="0.35">
      <c r="A1327"/>
      <c r="B1327"/>
      <c r="C1327"/>
      <c r="D1327"/>
    </row>
    <row r="1328" spans="1:4" x14ac:dyDescent="0.35">
      <c r="A1328"/>
      <c r="B1328"/>
      <c r="C1328"/>
      <c r="D1328"/>
    </row>
    <row r="1329" spans="1:4" x14ac:dyDescent="0.35">
      <c r="A1329"/>
      <c r="B1329"/>
      <c r="C1329"/>
      <c r="D1329"/>
    </row>
    <row r="1330" spans="1:4" x14ac:dyDescent="0.35">
      <c r="A1330"/>
      <c r="B1330"/>
      <c r="C1330"/>
      <c r="D1330"/>
    </row>
    <row r="1331" spans="1:4" x14ac:dyDescent="0.35">
      <c r="A1331"/>
      <c r="B1331"/>
      <c r="C1331"/>
      <c r="D1331"/>
    </row>
    <row r="1332" spans="1:4" x14ac:dyDescent="0.35">
      <c r="A1332"/>
      <c r="B1332"/>
      <c r="C1332"/>
      <c r="D1332"/>
    </row>
    <row r="1333" spans="1:4" x14ac:dyDescent="0.35">
      <c r="A1333"/>
      <c r="B1333"/>
      <c r="C1333"/>
      <c r="D1333"/>
    </row>
    <row r="1334" spans="1:4" x14ac:dyDescent="0.35">
      <c r="A1334"/>
      <c r="B1334"/>
      <c r="C1334"/>
      <c r="D1334"/>
    </row>
    <row r="1335" spans="1:4" x14ac:dyDescent="0.35">
      <c r="A1335"/>
      <c r="B1335"/>
      <c r="C1335"/>
      <c r="D1335"/>
    </row>
    <row r="1336" spans="1:4" x14ac:dyDescent="0.35">
      <c r="A1336"/>
      <c r="B1336"/>
      <c r="C1336"/>
      <c r="D1336"/>
    </row>
    <row r="1337" spans="1:4" x14ac:dyDescent="0.35">
      <c r="A1337"/>
      <c r="B1337"/>
      <c r="C1337"/>
      <c r="D1337"/>
    </row>
    <row r="1338" spans="1:4" x14ac:dyDescent="0.35">
      <c r="A1338"/>
      <c r="B1338"/>
      <c r="C1338"/>
      <c r="D1338"/>
    </row>
    <row r="1339" spans="1:4" x14ac:dyDescent="0.35">
      <c r="A1339"/>
      <c r="B1339"/>
      <c r="C1339"/>
      <c r="D1339"/>
    </row>
    <row r="1340" spans="1:4" x14ac:dyDescent="0.35">
      <c r="A1340"/>
      <c r="B1340"/>
      <c r="C1340"/>
      <c r="D1340"/>
    </row>
    <row r="1341" spans="1:4" x14ac:dyDescent="0.35">
      <c r="A1341"/>
      <c r="B1341"/>
      <c r="C1341"/>
      <c r="D1341"/>
    </row>
    <row r="1342" spans="1:4" x14ac:dyDescent="0.35">
      <c r="A1342"/>
      <c r="B1342"/>
      <c r="C1342"/>
      <c r="D1342"/>
    </row>
    <row r="1343" spans="1:4" x14ac:dyDescent="0.35">
      <c r="A1343"/>
      <c r="B1343"/>
      <c r="C1343"/>
      <c r="D1343"/>
    </row>
    <row r="1344" spans="1:4" x14ac:dyDescent="0.35">
      <c r="A1344"/>
      <c r="B1344"/>
      <c r="C1344"/>
      <c r="D1344"/>
    </row>
    <row r="1345" spans="1:4" x14ac:dyDescent="0.35">
      <c r="A1345"/>
      <c r="B1345"/>
      <c r="C1345"/>
      <c r="D1345"/>
    </row>
    <row r="1346" spans="1:4" x14ac:dyDescent="0.35">
      <c r="A1346"/>
      <c r="B1346"/>
      <c r="C1346"/>
      <c r="D1346"/>
    </row>
    <row r="1347" spans="1:4" x14ac:dyDescent="0.35">
      <c r="A1347"/>
      <c r="B1347"/>
      <c r="C1347"/>
      <c r="D1347"/>
    </row>
    <row r="1348" spans="1:4" x14ac:dyDescent="0.35">
      <c r="A1348"/>
      <c r="B1348"/>
      <c r="C1348"/>
      <c r="D1348"/>
    </row>
    <row r="1349" spans="1:4" x14ac:dyDescent="0.35">
      <c r="A1349"/>
      <c r="B1349"/>
      <c r="C1349"/>
      <c r="D1349"/>
    </row>
    <row r="1350" spans="1:4" x14ac:dyDescent="0.35">
      <c r="A1350"/>
      <c r="B1350"/>
      <c r="C1350"/>
      <c r="D1350"/>
    </row>
    <row r="1351" spans="1:4" x14ac:dyDescent="0.35">
      <c r="A1351"/>
      <c r="B1351"/>
      <c r="C1351"/>
      <c r="D1351"/>
    </row>
    <row r="1352" spans="1:4" x14ac:dyDescent="0.35">
      <c r="A1352"/>
      <c r="B1352"/>
      <c r="C1352"/>
      <c r="D1352"/>
    </row>
    <row r="1353" spans="1:4" x14ac:dyDescent="0.35">
      <c r="A1353"/>
      <c r="B1353"/>
      <c r="C1353"/>
      <c r="D1353"/>
    </row>
    <row r="1354" spans="1:4" x14ac:dyDescent="0.35">
      <c r="A1354"/>
      <c r="B1354"/>
      <c r="C1354"/>
      <c r="D1354"/>
    </row>
    <row r="1355" spans="1:4" x14ac:dyDescent="0.35">
      <c r="A1355"/>
      <c r="B1355"/>
      <c r="C1355"/>
      <c r="D1355"/>
    </row>
    <row r="1356" spans="1:4" x14ac:dyDescent="0.35">
      <c r="A1356"/>
      <c r="B1356"/>
      <c r="C1356"/>
      <c r="D1356"/>
    </row>
    <row r="1357" spans="1:4" x14ac:dyDescent="0.35">
      <c r="A1357"/>
      <c r="B1357"/>
      <c r="C1357"/>
      <c r="D1357"/>
    </row>
    <row r="1358" spans="1:4" x14ac:dyDescent="0.35">
      <c r="A1358"/>
      <c r="B1358"/>
      <c r="C1358"/>
      <c r="D1358"/>
    </row>
    <row r="1359" spans="1:4" x14ac:dyDescent="0.35">
      <c r="A1359"/>
      <c r="B1359"/>
      <c r="C1359"/>
      <c r="D1359"/>
    </row>
    <row r="1360" spans="1:4" x14ac:dyDescent="0.35">
      <c r="A1360"/>
      <c r="B1360"/>
      <c r="C1360"/>
      <c r="D1360"/>
    </row>
    <row r="1361" spans="1:4" x14ac:dyDescent="0.35">
      <c r="A1361"/>
      <c r="B1361"/>
      <c r="C1361"/>
      <c r="D1361"/>
    </row>
    <row r="1362" spans="1:4" x14ac:dyDescent="0.35">
      <c r="A1362"/>
      <c r="B1362"/>
      <c r="C1362"/>
      <c r="D1362"/>
    </row>
    <row r="1363" spans="1:4" x14ac:dyDescent="0.35">
      <c r="A1363"/>
      <c r="B1363"/>
      <c r="C1363"/>
      <c r="D1363"/>
    </row>
    <row r="1364" spans="1:4" x14ac:dyDescent="0.35">
      <c r="A1364"/>
      <c r="B1364"/>
      <c r="C1364"/>
      <c r="D1364"/>
    </row>
    <row r="1365" spans="1:4" x14ac:dyDescent="0.35">
      <c r="A1365"/>
      <c r="B1365"/>
      <c r="C1365"/>
      <c r="D1365"/>
    </row>
    <row r="1366" spans="1:4" x14ac:dyDescent="0.35">
      <c r="A1366"/>
      <c r="B1366"/>
      <c r="C1366"/>
      <c r="D1366"/>
    </row>
    <row r="1367" spans="1:4" x14ac:dyDescent="0.35">
      <c r="A1367"/>
      <c r="B1367"/>
      <c r="C1367"/>
      <c r="D1367"/>
    </row>
    <row r="1368" spans="1:4" x14ac:dyDescent="0.35">
      <c r="A1368"/>
      <c r="B1368"/>
      <c r="C1368"/>
      <c r="D1368"/>
    </row>
    <row r="1369" spans="1:4" x14ac:dyDescent="0.35">
      <c r="A1369"/>
      <c r="B1369"/>
      <c r="C1369"/>
      <c r="D1369"/>
    </row>
    <row r="1370" spans="1:4" x14ac:dyDescent="0.35">
      <c r="A1370"/>
      <c r="B1370"/>
      <c r="C1370"/>
      <c r="D1370"/>
    </row>
    <row r="1371" spans="1:4" x14ac:dyDescent="0.35">
      <c r="A1371"/>
      <c r="B1371"/>
      <c r="C1371"/>
      <c r="D1371"/>
    </row>
    <row r="1372" spans="1:4" x14ac:dyDescent="0.35">
      <c r="A1372"/>
      <c r="B1372"/>
      <c r="C1372"/>
      <c r="D1372"/>
    </row>
    <row r="1373" spans="1:4" x14ac:dyDescent="0.35">
      <c r="A1373"/>
      <c r="B1373"/>
      <c r="C1373"/>
      <c r="D1373"/>
    </row>
    <row r="1374" spans="1:4" x14ac:dyDescent="0.35">
      <c r="A1374"/>
      <c r="B1374"/>
      <c r="C1374"/>
      <c r="D1374"/>
    </row>
    <row r="1375" spans="1:4" x14ac:dyDescent="0.35">
      <c r="A1375"/>
      <c r="B1375"/>
      <c r="C1375"/>
      <c r="D1375"/>
    </row>
    <row r="1376" spans="1:4" x14ac:dyDescent="0.35">
      <c r="A1376"/>
      <c r="B1376"/>
      <c r="C1376"/>
      <c r="D1376"/>
    </row>
    <row r="1377" spans="1:4" x14ac:dyDescent="0.35">
      <c r="A1377"/>
      <c r="B1377"/>
      <c r="C1377"/>
      <c r="D1377"/>
    </row>
    <row r="1378" spans="1:4" x14ac:dyDescent="0.35">
      <c r="A1378"/>
      <c r="B1378"/>
      <c r="C1378"/>
      <c r="D1378"/>
    </row>
    <row r="1379" spans="1:4" x14ac:dyDescent="0.35">
      <c r="A1379"/>
      <c r="B1379"/>
      <c r="C1379"/>
      <c r="D1379"/>
    </row>
    <row r="1380" spans="1:4" x14ac:dyDescent="0.35">
      <c r="A1380"/>
      <c r="B1380"/>
      <c r="C1380"/>
      <c r="D1380"/>
    </row>
    <row r="1381" spans="1:4" x14ac:dyDescent="0.35">
      <c r="A1381"/>
      <c r="B1381"/>
      <c r="C1381"/>
      <c r="D1381"/>
    </row>
    <row r="1382" spans="1:4" x14ac:dyDescent="0.35">
      <c r="A1382"/>
      <c r="B1382"/>
      <c r="C1382"/>
      <c r="D1382"/>
    </row>
    <row r="1383" spans="1:4" x14ac:dyDescent="0.35">
      <c r="A1383"/>
      <c r="B1383"/>
      <c r="C1383"/>
      <c r="D1383"/>
    </row>
    <row r="1384" spans="1:4" x14ac:dyDescent="0.35">
      <c r="A1384"/>
      <c r="B1384"/>
      <c r="C1384"/>
      <c r="D1384"/>
    </row>
    <row r="1385" spans="1:4" x14ac:dyDescent="0.35">
      <c r="A1385"/>
      <c r="B1385"/>
      <c r="C1385"/>
      <c r="D1385"/>
    </row>
    <row r="1386" spans="1:4" x14ac:dyDescent="0.35">
      <c r="A1386"/>
      <c r="B1386"/>
      <c r="C1386"/>
      <c r="D1386"/>
    </row>
    <row r="1387" spans="1:4" x14ac:dyDescent="0.35">
      <c r="A1387"/>
      <c r="B1387"/>
      <c r="C1387"/>
      <c r="D1387"/>
    </row>
    <row r="1388" spans="1:4" x14ac:dyDescent="0.35">
      <c r="A1388"/>
      <c r="B1388"/>
      <c r="C1388"/>
      <c r="D1388"/>
    </row>
    <row r="1389" spans="1:4" x14ac:dyDescent="0.35">
      <c r="A1389"/>
      <c r="B1389"/>
      <c r="C1389"/>
      <c r="D1389"/>
    </row>
    <row r="1390" spans="1:4" x14ac:dyDescent="0.35">
      <c r="A1390"/>
      <c r="B1390"/>
      <c r="C1390"/>
      <c r="D1390"/>
    </row>
    <row r="1391" spans="1:4" x14ac:dyDescent="0.35">
      <c r="A1391"/>
      <c r="B1391"/>
      <c r="C1391"/>
      <c r="D1391"/>
    </row>
    <row r="1392" spans="1:4" x14ac:dyDescent="0.35">
      <c r="A1392"/>
      <c r="B1392"/>
      <c r="C1392"/>
      <c r="D1392"/>
    </row>
    <row r="1393" spans="1:4" x14ac:dyDescent="0.35">
      <c r="A1393"/>
      <c r="B1393"/>
      <c r="C1393"/>
      <c r="D1393"/>
    </row>
    <row r="1394" spans="1:4" x14ac:dyDescent="0.35">
      <c r="A1394"/>
      <c r="B1394"/>
      <c r="C1394"/>
      <c r="D1394"/>
    </row>
    <row r="1395" spans="1:4" x14ac:dyDescent="0.35">
      <c r="A1395"/>
      <c r="B1395"/>
      <c r="C1395"/>
      <c r="D1395"/>
    </row>
    <row r="1396" spans="1:4" x14ac:dyDescent="0.35">
      <c r="A1396"/>
      <c r="B1396"/>
      <c r="C1396"/>
      <c r="D1396"/>
    </row>
    <row r="1397" spans="1:4" x14ac:dyDescent="0.35">
      <c r="A1397"/>
      <c r="B1397"/>
      <c r="C1397"/>
      <c r="D1397"/>
    </row>
    <row r="1398" spans="1:4" x14ac:dyDescent="0.35">
      <c r="A1398"/>
      <c r="B1398"/>
      <c r="C1398"/>
      <c r="D1398"/>
    </row>
    <row r="1399" spans="1:4" x14ac:dyDescent="0.35">
      <c r="A1399"/>
      <c r="B1399"/>
      <c r="C1399"/>
      <c r="D1399"/>
    </row>
    <row r="1400" spans="1:4" x14ac:dyDescent="0.35">
      <c r="A1400"/>
      <c r="B1400"/>
      <c r="C1400"/>
      <c r="D1400"/>
    </row>
    <row r="1401" spans="1:4" x14ac:dyDescent="0.35">
      <c r="A1401"/>
      <c r="B1401"/>
      <c r="C1401"/>
      <c r="D1401"/>
    </row>
    <row r="1402" spans="1:4" x14ac:dyDescent="0.35">
      <c r="A1402"/>
      <c r="B1402"/>
      <c r="C1402"/>
      <c r="D1402"/>
    </row>
    <row r="1403" spans="1:4" x14ac:dyDescent="0.35">
      <c r="A1403"/>
      <c r="B1403"/>
      <c r="C1403"/>
      <c r="D1403"/>
    </row>
    <row r="1404" spans="1:4" x14ac:dyDescent="0.35">
      <c r="A1404"/>
      <c r="B1404"/>
      <c r="C1404"/>
      <c r="D1404"/>
    </row>
    <row r="1405" spans="1:4" x14ac:dyDescent="0.35">
      <c r="A1405"/>
      <c r="B1405"/>
      <c r="C1405"/>
      <c r="D1405"/>
    </row>
    <row r="1406" spans="1:4" x14ac:dyDescent="0.35">
      <c r="A1406"/>
      <c r="B1406"/>
      <c r="C1406"/>
      <c r="D1406"/>
    </row>
    <row r="1407" spans="1:4" x14ac:dyDescent="0.35">
      <c r="A1407"/>
      <c r="B1407"/>
      <c r="C1407"/>
      <c r="D1407"/>
    </row>
    <row r="1408" spans="1:4" x14ac:dyDescent="0.35">
      <c r="A1408"/>
      <c r="B1408"/>
      <c r="C1408"/>
      <c r="D1408"/>
    </row>
    <row r="1409" spans="1:4" x14ac:dyDescent="0.35">
      <c r="A1409"/>
      <c r="B1409"/>
      <c r="C1409"/>
      <c r="D1409"/>
    </row>
    <row r="1410" spans="1:4" x14ac:dyDescent="0.35">
      <c r="A1410"/>
      <c r="B1410"/>
      <c r="C1410"/>
      <c r="D1410"/>
    </row>
    <row r="1411" spans="1:4" x14ac:dyDescent="0.35">
      <c r="A1411"/>
      <c r="B1411"/>
      <c r="C1411"/>
      <c r="D1411"/>
    </row>
    <row r="1412" spans="1:4" x14ac:dyDescent="0.35">
      <c r="A1412"/>
      <c r="B1412"/>
      <c r="C1412"/>
      <c r="D1412"/>
    </row>
    <row r="1413" spans="1:4" x14ac:dyDescent="0.35">
      <c r="A1413"/>
      <c r="B1413"/>
      <c r="C1413"/>
      <c r="D1413"/>
    </row>
    <row r="1414" spans="1:4" x14ac:dyDescent="0.35">
      <c r="A1414"/>
      <c r="B1414"/>
      <c r="C1414"/>
      <c r="D1414"/>
    </row>
    <row r="1415" spans="1:4" x14ac:dyDescent="0.35">
      <c r="A1415"/>
      <c r="B1415"/>
      <c r="C1415"/>
      <c r="D1415"/>
    </row>
    <row r="1416" spans="1:4" x14ac:dyDescent="0.35">
      <c r="A1416"/>
      <c r="B1416"/>
      <c r="C1416"/>
      <c r="D1416"/>
    </row>
    <row r="1417" spans="1:4" x14ac:dyDescent="0.35">
      <c r="A1417"/>
      <c r="B1417"/>
      <c r="C1417"/>
      <c r="D1417"/>
    </row>
    <row r="1418" spans="1:4" x14ac:dyDescent="0.35">
      <c r="A1418"/>
      <c r="B1418"/>
      <c r="C1418"/>
      <c r="D1418"/>
    </row>
    <row r="1419" spans="1:4" x14ac:dyDescent="0.35">
      <c r="A1419"/>
      <c r="B1419"/>
      <c r="C1419"/>
      <c r="D1419"/>
    </row>
    <row r="1420" spans="1:4" x14ac:dyDescent="0.35">
      <c r="A1420"/>
      <c r="B1420"/>
      <c r="C1420"/>
      <c r="D1420"/>
    </row>
    <row r="1421" spans="1:4" x14ac:dyDescent="0.35">
      <c r="A1421"/>
      <c r="B1421"/>
      <c r="C1421"/>
      <c r="D1421"/>
    </row>
    <row r="1422" spans="1:4" x14ac:dyDescent="0.35">
      <c r="A1422"/>
      <c r="B1422"/>
      <c r="C1422"/>
      <c r="D1422"/>
    </row>
    <row r="1423" spans="1:4" x14ac:dyDescent="0.35">
      <c r="A1423"/>
      <c r="B1423"/>
      <c r="C1423"/>
      <c r="D1423"/>
    </row>
    <row r="1424" spans="1:4" x14ac:dyDescent="0.35">
      <c r="A1424"/>
      <c r="B1424"/>
      <c r="C1424"/>
      <c r="D1424"/>
    </row>
    <row r="1425" spans="1:4" x14ac:dyDescent="0.35">
      <c r="A1425"/>
      <c r="B1425"/>
      <c r="C1425"/>
      <c r="D1425"/>
    </row>
    <row r="1426" spans="1:4" x14ac:dyDescent="0.35">
      <c r="A1426"/>
      <c r="B1426"/>
      <c r="C1426"/>
      <c r="D1426"/>
    </row>
    <row r="1427" spans="1:4" x14ac:dyDescent="0.35">
      <c r="A1427"/>
      <c r="B1427"/>
      <c r="C1427"/>
      <c r="D1427"/>
    </row>
    <row r="1428" spans="1:4" x14ac:dyDescent="0.35">
      <c r="A1428"/>
      <c r="B1428"/>
      <c r="C1428"/>
      <c r="D1428"/>
    </row>
    <row r="1429" spans="1:4" x14ac:dyDescent="0.35">
      <c r="A1429"/>
      <c r="B1429"/>
      <c r="C1429"/>
      <c r="D1429"/>
    </row>
    <row r="1430" spans="1:4" x14ac:dyDescent="0.35">
      <c r="A1430"/>
      <c r="B1430"/>
      <c r="C1430"/>
      <c r="D1430"/>
    </row>
    <row r="1431" spans="1:4" x14ac:dyDescent="0.35">
      <c r="A1431"/>
      <c r="B1431"/>
      <c r="C1431"/>
      <c r="D1431"/>
    </row>
    <row r="1432" spans="1:4" x14ac:dyDescent="0.35">
      <c r="A1432"/>
      <c r="B1432"/>
      <c r="C1432"/>
      <c r="D1432"/>
    </row>
    <row r="1433" spans="1:4" x14ac:dyDescent="0.35">
      <c r="A1433"/>
      <c r="B1433"/>
      <c r="C1433"/>
      <c r="D1433"/>
    </row>
    <row r="1434" spans="1:4" x14ac:dyDescent="0.35">
      <c r="A1434"/>
      <c r="B1434"/>
      <c r="C1434"/>
      <c r="D1434"/>
    </row>
    <row r="1435" spans="1:4" x14ac:dyDescent="0.35">
      <c r="A1435"/>
      <c r="B1435"/>
      <c r="C1435"/>
      <c r="D1435"/>
    </row>
    <row r="1436" spans="1:4" x14ac:dyDescent="0.35">
      <c r="A1436"/>
      <c r="B1436"/>
      <c r="C1436"/>
      <c r="D1436"/>
    </row>
    <row r="1437" spans="1:4" x14ac:dyDescent="0.35">
      <c r="A1437"/>
      <c r="B1437"/>
      <c r="C1437"/>
      <c r="D1437"/>
    </row>
    <row r="1438" spans="1:4" x14ac:dyDescent="0.35">
      <c r="A1438"/>
      <c r="B1438"/>
      <c r="C1438"/>
      <c r="D1438"/>
    </row>
    <row r="1439" spans="1:4" x14ac:dyDescent="0.35">
      <c r="A1439"/>
      <c r="B1439"/>
      <c r="C1439"/>
      <c r="D1439"/>
    </row>
    <row r="1440" spans="1:4" x14ac:dyDescent="0.35">
      <c r="A1440"/>
      <c r="B1440"/>
      <c r="C1440"/>
      <c r="D1440"/>
    </row>
    <row r="1441" spans="1:4" x14ac:dyDescent="0.35">
      <c r="A1441"/>
      <c r="B1441"/>
      <c r="C1441"/>
      <c r="D1441"/>
    </row>
    <row r="1442" spans="1:4" x14ac:dyDescent="0.35">
      <c r="A1442"/>
      <c r="B1442"/>
      <c r="C1442"/>
      <c r="D1442"/>
    </row>
    <row r="1443" spans="1:4" x14ac:dyDescent="0.35">
      <c r="A1443"/>
      <c r="B1443"/>
      <c r="C1443"/>
      <c r="D1443"/>
    </row>
    <row r="1444" spans="1:4" x14ac:dyDescent="0.35">
      <c r="A1444"/>
      <c r="B1444"/>
      <c r="C1444"/>
      <c r="D1444"/>
    </row>
    <row r="1445" spans="1:4" x14ac:dyDescent="0.35">
      <c r="A1445"/>
      <c r="B1445"/>
      <c r="C1445"/>
      <c r="D1445"/>
    </row>
    <row r="1446" spans="1:4" x14ac:dyDescent="0.35">
      <c r="A1446"/>
      <c r="B1446"/>
      <c r="C1446"/>
      <c r="D1446"/>
    </row>
    <row r="1447" spans="1:4" x14ac:dyDescent="0.35">
      <c r="A1447"/>
      <c r="B1447"/>
      <c r="C1447"/>
      <c r="D1447"/>
    </row>
    <row r="1448" spans="1:4" x14ac:dyDescent="0.35">
      <c r="A1448"/>
      <c r="B1448"/>
      <c r="C1448"/>
      <c r="D1448"/>
    </row>
    <row r="1449" spans="1:4" x14ac:dyDescent="0.35">
      <c r="A1449"/>
      <c r="B1449"/>
      <c r="C1449"/>
      <c r="D1449"/>
    </row>
    <row r="1450" spans="1:4" x14ac:dyDescent="0.35">
      <c r="A1450"/>
      <c r="B1450"/>
      <c r="C1450"/>
      <c r="D1450"/>
    </row>
    <row r="1451" spans="1:4" x14ac:dyDescent="0.35">
      <c r="A1451"/>
      <c r="B1451"/>
      <c r="C1451"/>
      <c r="D1451"/>
    </row>
    <row r="1452" spans="1:4" x14ac:dyDescent="0.35">
      <c r="A1452"/>
      <c r="B1452"/>
      <c r="C1452"/>
      <c r="D1452"/>
    </row>
    <row r="1453" spans="1:4" x14ac:dyDescent="0.35">
      <c r="A1453"/>
      <c r="B1453"/>
      <c r="C1453"/>
      <c r="D1453"/>
    </row>
    <row r="1454" spans="1:4" x14ac:dyDescent="0.35">
      <c r="A1454"/>
      <c r="B1454"/>
      <c r="C1454"/>
      <c r="D1454"/>
    </row>
    <row r="1455" spans="1:4" x14ac:dyDescent="0.35">
      <c r="A1455"/>
      <c r="B1455"/>
      <c r="C1455"/>
      <c r="D1455"/>
    </row>
    <row r="1456" spans="1:4" x14ac:dyDescent="0.35">
      <c r="A1456"/>
      <c r="B1456"/>
      <c r="C1456"/>
      <c r="D1456"/>
    </row>
    <row r="1457" spans="1:4" x14ac:dyDescent="0.35">
      <c r="A1457"/>
      <c r="B1457"/>
      <c r="C1457"/>
      <c r="D1457"/>
    </row>
    <row r="1458" spans="1:4" x14ac:dyDescent="0.35">
      <c r="A1458"/>
      <c r="B1458"/>
      <c r="C1458"/>
      <c r="D1458"/>
    </row>
    <row r="1459" spans="1:4" x14ac:dyDescent="0.35">
      <c r="A1459"/>
      <c r="B1459"/>
      <c r="C1459"/>
      <c r="D1459"/>
    </row>
    <row r="1460" spans="1:4" x14ac:dyDescent="0.35">
      <c r="A1460"/>
      <c r="B1460"/>
      <c r="C1460"/>
      <c r="D1460"/>
    </row>
    <row r="1461" spans="1:4" x14ac:dyDescent="0.35">
      <c r="A1461"/>
      <c r="B1461"/>
      <c r="C1461"/>
      <c r="D1461"/>
    </row>
    <row r="1462" spans="1:4" x14ac:dyDescent="0.35">
      <c r="A1462"/>
      <c r="B1462"/>
      <c r="C1462"/>
      <c r="D1462"/>
    </row>
    <row r="1463" spans="1:4" x14ac:dyDescent="0.35">
      <c r="A1463"/>
      <c r="B1463"/>
      <c r="C1463"/>
      <c r="D1463"/>
    </row>
    <row r="1464" spans="1:4" x14ac:dyDescent="0.35">
      <c r="A1464"/>
      <c r="B1464"/>
      <c r="C1464"/>
      <c r="D1464"/>
    </row>
    <row r="1465" spans="1:4" x14ac:dyDescent="0.35">
      <c r="A1465"/>
      <c r="B1465"/>
      <c r="C1465"/>
      <c r="D1465"/>
    </row>
    <row r="1466" spans="1:4" x14ac:dyDescent="0.35">
      <c r="A1466"/>
      <c r="B1466"/>
      <c r="C1466"/>
      <c r="D1466"/>
    </row>
    <row r="1467" spans="1:4" x14ac:dyDescent="0.35">
      <c r="A1467"/>
      <c r="B1467"/>
      <c r="C1467"/>
      <c r="D1467"/>
    </row>
    <row r="1468" spans="1:4" x14ac:dyDescent="0.35">
      <c r="A1468"/>
      <c r="B1468"/>
      <c r="C1468"/>
      <c r="D1468"/>
    </row>
    <row r="1469" spans="1:4" x14ac:dyDescent="0.35">
      <c r="A1469"/>
      <c r="B1469"/>
      <c r="C1469"/>
      <c r="D1469"/>
    </row>
    <row r="1470" spans="1:4" x14ac:dyDescent="0.35">
      <c r="A1470"/>
      <c r="B1470"/>
      <c r="C1470"/>
      <c r="D1470"/>
    </row>
    <row r="1471" spans="1:4" x14ac:dyDescent="0.35">
      <c r="A1471"/>
      <c r="B1471"/>
      <c r="C1471"/>
      <c r="D1471"/>
    </row>
    <row r="1472" spans="1:4" x14ac:dyDescent="0.35">
      <c r="A1472"/>
      <c r="B1472"/>
      <c r="C1472"/>
      <c r="D1472"/>
    </row>
    <row r="1473" spans="1:4" x14ac:dyDescent="0.35">
      <c r="A1473"/>
      <c r="B1473"/>
      <c r="C1473"/>
      <c r="D1473"/>
    </row>
    <row r="1474" spans="1:4" x14ac:dyDescent="0.35">
      <c r="A1474"/>
      <c r="B1474"/>
      <c r="C1474"/>
      <c r="D1474"/>
    </row>
    <row r="1475" spans="1:4" x14ac:dyDescent="0.35">
      <c r="A1475"/>
      <c r="B1475"/>
      <c r="C1475"/>
      <c r="D1475"/>
    </row>
    <row r="1476" spans="1:4" x14ac:dyDescent="0.35">
      <c r="A1476"/>
      <c r="B1476"/>
      <c r="C1476"/>
      <c r="D1476"/>
    </row>
    <row r="1477" spans="1:4" x14ac:dyDescent="0.35">
      <c r="A1477"/>
      <c r="B1477"/>
      <c r="C1477"/>
      <c r="D1477"/>
    </row>
    <row r="1478" spans="1:4" x14ac:dyDescent="0.35">
      <c r="A1478"/>
      <c r="B1478"/>
      <c r="C1478"/>
      <c r="D1478"/>
    </row>
    <row r="1479" spans="1:4" x14ac:dyDescent="0.35">
      <c r="A1479"/>
      <c r="B1479"/>
      <c r="C1479"/>
      <c r="D1479"/>
    </row>
    <row r="1480" spans="1:4" x14ac:dyDescent="0.35">
      <c r="A1480"/>
      <c r="B1480"/>
      <c r="C1480"/>
      <c r="D1480"/>
    </row>
    <row r="1481" spans="1:4" x14ac:dyDescent="0.35">
      <c r="A1481"/>
      <c r="B1481"/>
      <c r="C1481"/>
      <c r="D1481"/>
    </row>
    <row r="1482" spans="1:4" x14ac:dyDescent="0.35">
      <c r="A1482"/>
      <c r="B1482"/>
      <c r="C1482"/>
      <c r="D1482"/>
    </row>
    <row r="1483" spans="1:4" x14ac:dyDescent="0.35">
      <c r="A1483"/>
      <c r="B1483"/>
      <c r="C1483"/>
      <c r="D1483"/>
    </row>
    <row r="1484" spans="1:4" x14ac:dyDescent="0.35">
      <c r="A1484"/>
      <c r="B1484"/>
      <c r="C1484"/>
      <c r="D1484"/>
    </row>
    <row r="1485" spans="1:4" x14ac:dyDescent="0.35">
      <c r="A1485"/>
      <c r="B1485"/>
      <c r="C1485"/>
      <c r="D1485"/>
    </row>
    <row r="1486" spans="1:4" x14ac:dyDescent="0.35">
      <c r="A1486"/>
      <c r="B1486"/>
      <c r="C1486"/>
      <c r="D1486"/>
    </row>
    <row r="1487" spans="1:4" x14ac:dyDescent="0.35">
      <c r="A1487"/>
      <c r="B1487"/>
      <c r="C1487"/>
      <c r="D1487"/>
    </row>
    <row r="1488" spans="1:4" x14ac:dyDescent="0.35">
      <c r="A1488"/>
      <c r="B1488"/>
      <c r="C1488"/>
      <c r="D1488"/>
    </row>
    <row r="1489" spans="1:4" x14ac:dyDescent="0.35">
      <c r="A1489"/>
      <c r="B1489"/>
      <c r="C1489"/>
      <c r="D1489"/>
    </row>
    <row r="1490" spans="1:4" x14ac:dyDescent="0.35">
      <c r="A1490"/>
      <c r="B1490"/>
      <c r="C1490"/>
      <c r="D1490"/>
    </row>
    <row r="1491" spans="1:4" x14ac:dyDescent="0.35">
      <c r="A1491"/>
      <c r="B1491"/>
      <c r="C1491"/>
      <c r="D1491"/>
    </row>
    <row r="1492" spans="1:4" x14ac:dyDescent="0.35">
      <c r="A1492"/>
      <c r="B1492"/>
      <c r="C1492"/>
      <c r="D1492"/>
    </row>
    <row r="1493" spans="1:4" x14ac:dyDescent="0.35">
      <c r="A1493"/>
      <c r="B1493"/>
      <c r="C1493"/>
      <c r="D1493"/>
    </row>
    <row r="1494" spans="1:4" x14ac:dyDescent="0.35">
      <c r="A1494"/>
      <c r="B1494"/>
      <c r="C1494"/>
      <c r="D1494"/>
    </row>
    <row r="1495" spans="1:4" x14ac:dyDescent="0.35">
      <c r="A1495"/>
      <c r="B1495"/>
      <c r="C1495"/>
      <c r="D1495"/>
    </row>
    <row r="1496" spans="1:4" x14ac:dyDescent="0.35">
      <c r="A1496"/>
      <c r="B1496"/>
      <c r="C1496"/>
      <c r="D1496"/>
    </row>
    <row r="1497" spans="1:4" x14ac:dyDescent="0.35">
      <c r="A1497"/>
      <c r="B1497"/>
      <c r="C1497"/>
      <c r="D1497"/>
    </row>
    <row r="1498" spans="1:4" x14ac:dyDescent="0.35">
      <c r="A1498"/>
      <c r="B1498"/>
      <c r="C1498"/>
      <c r="D1498"/>
    </row>
    <row r="1499" spans="1:4" x14ac:dyDescent="0.35">
      <c r="A1499"/>
      <c r="B1499"/>
      <c r="C1499"/>
      <c r="D1499"/>
    </row>
    <row r="1500" spans="1:4" x14ac:dyDescent="0.35">
      <c r="A1500"/>
      <c r="B1500"/>
      <c r="C1500"/>
      <c r="D1500"/>
    </row>
    <row r="1501" spans="1:4" x14ac:dyDescent="0.35">
      <c r="A1501"/>
      <c r="B1501"/>
      <c r="C1501"/>
      <c r="D1501"/>
    </row>
    <row r="1502" spans="1:4" x14ac:dyDescent="0.35">
      <c r="A1502"/>
      <c r="B1502"/>
      <c r="C1502"/>
      <c r="D1502"/>
    </row>
    <row r="1503" spans="1:4" x14ac:dyDescent="0.35">
      <c r="A1503"/>
      <c r="B1503"/>
      <c r="C1503"/>
      <c r="D1503"/>
    </row>
    <row r="1504" spans="1:4" x14ac:dyDescent="0.35">
      <c r="A1504"/>
      <c r="B1504"/>
      <c r="C1504"/>
      <c r="D1504"/>
    </row>
    <row r="1505" spans="1:4" x14ac:dyDescent="0.35">
      <c r="A1505"/>
      <c r="B1505"/>
      <c r="C1505"/>
      <c r="D1505"/>
    </row>
    <row r="1506" spans="1:4" x14ac:dyDescent="0.35">
      <c r="A1506"/>
      <c r="B1506"/>
      <c r="C1506"/>
      <c r="D1506"/>
    </row>
    <row r="1507" spans="1:4" x14ac:dyDescent="0.35">
      <c r="A1507"/>
      <c r="B1507"/>
      <c r="C1507"/>
      <c r="D1507"/>
    </row>
    <row r="1508" spans="1:4" x14ac:dyDescent="0.35">
      <c r="A1508"/>
      <c r="B1508"/>
      <c r="C1508"/>
      <c r="D1508"/>
    </row>
    <row r="1509" spans="1:4" x14ac:dyDescent="0.35">
      <c r="A1509"/>
      <c r="B1509"/>
      <c r="C1509"/>
      <c r="D1509"/>
    </row>
    <row r="1510" spans="1:4" x14ac:dyDescent="0.35">
      <c r="A1510"/>
      <c r="B1510"/>
      <c r="C1510"/>
      <c r="D1510"/>
    </row>
    <row r="1511" spans="1:4" x14ac:dyDescent="0.35">
      <c r="A1511"/>
      <c r="B1511"/>
      <c r="C1511"/>
      <c r="D1511"/>
    </row>
    <row r="1512" spans="1:4" x14ac:dyDescent="0.35">
      <c r="A1512"/>
      <c r="B1512"/>
      <c r="C1512"/>
      <c r="D1512"/>
    </row>
    <row r="1513" spans="1:4" x14ac:dyDescent="0.35">
      <c r="A1513"/>
      <c r="B1513"/>
      <c r="C1513"/>
      <c r="D1513"/>
    </row>
    <row r="1514" spans="1:4" x14ac:dyDescent="0.35">
      <c r="A1514"/>
      <c r="B1514"/>
      <c r="C1514"/>
      <c r="D1514"/>
    </row>
    <row r="1515" spans="1:4" x14ac:dyDescent="0.35">
      <c r="A1515"/>
      <c r="B1515"/>
      <c r="C1515"/>
      <c r="D1515"/>
    </row>
    <row r="1516" spans="1:4" x14ac:dyDescent="0.35">
      <c r="A1516"/>
      <c r="B1516"/>
      <c r="C1516"/>
      <c r="D1516"/>
    </row>
    <row r="1517" spans="1:4" x14ac:dyDescent="0.35">
      <c r="A1517"/>
      <c r="B1517"/>
      <c r="C1517"/>
      <c r="D1517"/>
    </row>
    <row r="1518" spans="1:4" x14ac:dyDescent="0.35">
      <c r="A1518"/>
      <c r="B1518"/>
      <c r="C1518"/>
      <c r="D1518"/>
    </row>
    <row r="1519" spans="1:4" x14ac:dyDescent="0.35">
      <c r="A1519"/>
      <c r="B1519"/>
      <c r="C1519"/>
      <c r="D1519"/>
    </row>
    <row r="1520" spans="1:4" x14ac:dyDescent="0.35">
      <c r="A1520"/>
      <c r="B1520"/>
      <c r="C1520"/>
      <c r="D1520"/>
    </row>
    <row r="1521" spans="1:4" x14ac:dyDescent="0.35">
      <c r="A1521"/>
      <c r="B1521"/>
      <c r="C1521"/>
      <c r="D1521"/>
    </row>
    <row r="1522" spans="1:4" x14ac:dyDescent="0.35">
      <c r="A1522"/>
      <c r="B1522"/>
      <c r="C1522"/>
      <c r="D1522"/>
    </row>
    <row r="1523" spans="1:4" x14ac:dyDescent="0.35">
      <c r="A1523"/>
      <c r="B1523"/>
      <c r="C1523"/>
      <c r="D1523"/>
    </row>
    <row r="1524" spans="1:4" x14ac:dyDescent="0.35">
      <c r="A1524"/>
      <c r="B1524"/>
      <c r="C1524"/>
      <c r="D1524"/>
    </row>
    <row r="1525" spans="1:4" x14ac:dyDescent="0.35">
      <c r="A1525"/>
      <c r="B1525"/>
      <c r="C1525"/>
      <c r="D1525"/>
    </row>
    <row r="1526" spans="1:4" x14ac:dyDescent="0.35">
      <c r="A1526"/>
      <c r="B1526"/>
      <c r="C1526"/>
      <c r="D1526"/>
    </row>
    <row r="1527" spans="1:4" x14ac:dyDescent="0.35">
      <c r="A1527"/>
      <c r="B1527"/>
      <c r="C1527"/>
      <c r="D1527"/>
    </row>
    <row r="1528" spans="1:4" x14ac:dyDescent="0.35">
      <c r="A1528"/>
      <c r="B1528"/>
      <c r="C1528"/>
      <c r="D1528"/>
    </row>
    <row r="1529" spans="1:4" x14ac:dyDescent="0.35">
      <c r="A1529"/>
      <c r="B1529"/>
      <c r="C1529"/>
      <c r="D1529"/>
    </row>
    <row r="1530" spans="1:4" x14ac:dyDescent="0.35">
      <c r="A1530"/>
      <c r="B1530"/>
      <c r="C1530"/>
      <c r="D1530"/>
    </row>
    <row r="1531" spans="1:4" x14ac:dyDescent="0.35">
      <c r="A1531"/>
      <c r="B1531"/>
      <c r="C1531"/>
      <c r="D1531"/>
    </row>
    <row r="1532" spans="1:4" x14ac:dyDescent="0.35">
      <c r="A1532"/>
      <c r="B1532"/>
      <c r="C1532"/>
      <c r="D1532"/>
    </row>
    <row r="1533" spans="1:4" x14ac:dyDescent="0.35">
      <c r="A1533"/>
      <c r="B1533"/>
      <c r="C1533"/>
      <c r="D1533"/>
    </row>
    <row r="1534" spans="1:4" x14ac:dyDescent="0.35">
      <c r="A1534"/>
      <c r="B1534"/>
      <c r="C1534"/>
      <c r="D1534"/>
    </row>
    <row r="1535" spans="1:4" x14ac:dyDescent="0.35">
      <c r="A1535"/>
      <c r="B1535"/>
      <c r="C1535"/>
      <c r="D1535"/>
    </row>
    <row r="1536" spans="1:4" x14ac:dyDescent="0.35">
      <c r="A1536"/>
      <c r="B1536"/>
      <c r="C1536"/>
      <c r="D1536"/>
    </row>
    <row r="1537" spans="1:4" x14ac:dyDescent="0.35">
      <c r="A1537"/>
      <c r="B1537"/>
      <c r="C1537"/>
      <c r="D1537"/>
    </row>
    <row r="1538" spans="1:4" x14ac:dyDescent="0.35">
      <c r="A1538"/>
      <c r="B1538"/>
      <c r="C1538"/>
      <c r="D1538"/>
    </row>
    <row r="1539" spans="1:4" x14ac:dyDescent="0.35">
      <c r="A1539"/>
      <c r="B1539"/>
      <c r="C1539"/>
      <c r="D1539"/>
    </row>
    <row r="1540" spans="1:4" x14ac:dyDescent="0.35">
      <c r="A1540"/>
      <c r="B1540"/>
      <c r="C1540"/>
      <c r="D1540"/>
    </row>
    <row r="1541" spans="1:4" x14ac:dyDescent="0.35">
      <c r="A1541"/>
      <c r="B1541"/>
      <c r="C1541"/>
      <c r="D1541"/>
    </row>
    <row r="1542" spans="1:4" x14ac:dyDescent="0.35">
      <c r="A1542"/>
      <c r="B1542"/>
      <c r="C1542"/>
      <c r="D1542"/>
    </row>
    <row r="1543" spans="1:4" x14ac:dyDescent="0.35">
      <c r="A1543"/>
      <c r="B1543"/>
      <c r="C1543"/>
      <c r="D1543"/>
    </row>
    <row r="1544" spans="1:4" x14ac:dyDescent="0.35">
      <c r="A1544"/>
      <c r="B1544"/>
      <c r="C1544"/>
      <c r="D1544"/>
    </row>
    <row r="1545" spans="1:4" x14ac:dyDescent="0.35">
      <c r="A1545"/>
      <c r="B1545"/>
      <c r="C1545"/>
      <c r="D1545"/>
    </row>
    <row r="1546" spans="1:4" x14ac:dyDescent="0.35">
      <c r="A1546"/>
      <c r="B1546"/>
      <c r="C1546"/>
      <c r="D1546"/>
    </row>
    <row r="1547" spans="1:4" x14ac:dyDescent="0.35">
      <c r="A1547"/>
      <c r="B1547"/>
      <c r="C1547"/>
      <c r="D1547"/>
    </row>
    <row r="1548" spans="1:4" x14ac:dyDescent="0.35">
      <c r="A1548"/>
      <c r="B1548"/>
      <c r="C1548"/>
      <c r="D1548"/>
    </row>
    <row r="1549" spans="1:4" x14ac:dyDescent="0.35">
      <c r="A1549"/>
      <c r="B1549"/>
      <c r="C1549"/>
      <c r="D1549"/>
    </row>
    <row r="1550" spans="1:4" x14ac:dyDescent="0.35">
      <c r="A1550"/>
      <c r="B1550"/>
      <c r="C1550"/>
      <c r="D1550"/>
    </row>
    <row r="1551" spans="1:4" x14ac:dyDescent="0.35">
      <c r="A1551"/>
      <c r="B1551"/>
      <c r="C1551"/>
      <c r="D1551"/>
    </row>
    <row r="1552" spans="1:4" x14ac:dyDescent="0.35">
      <c r="A1552"/>
      <c r="B1552"/>
      <c r="C1552"/>
      <c r="D1552"/>
    </row>
    <row r="1553" spans="1:4" x14ac:dyDescent="0.35">
      <c r="A1553"/>
      <c r="B1553"/>
      <c r="C1553"/>
      <c r="D1553"/>
    </row>
    <row r="1554" spans="1:4" x14ac:dyDescent="0.35">
      <c r="A1554"/>
      <c r="B1554"/>
      <c r="C1554"/>
      <c r="D1554"/>
    </row>
    <row r="1555" spans="1:4" x14ac:dyDescent="0.35">
      <c r="A1555"/>
      <c r="B1555"/>
      <c r="C1555"/>
      <c r="D1555"/>
    </row>
    <row r="1556" spans="1:4" x14ac:dyDescent="0.35">
      <c r="A1556"/>
      <c r="B1556"/>
      <c r="C1556"/>
      <c r="D1556"/>
    </row>
    <row r="1557" spans="1:4" x14ac:dyDescent="0.35">
      <c r="A1557"/>
      <c r="B1557"/>
      <c r="C1557"/>
      <c r="D1557"/>
    </row>
    <row r="1558" spans="1:4" x14ac:dyDescent="0.35">
      <c r="A1558"/>
      <c r="B1558"/>
      <c r="C1558"/>
      <c r="D1558"/>
    </row>
    <row r="1559" spans="1:4" x14ac:dyDescent="0.35">
      <c r="A1559"/>
      <c r="B1559"/>
      <c r="C1559"/>
      <c r="D1559"/>
    </row>
    <row r="1560" spans="1:4" x14ac:dyDescent="0.35">
      <c r="A1560"/>
      <c r="B1560"/>
      <c r="C1560"/>
      <c r="D1560"/>
    </row>
    <row r="1561" spans="1:4" x14ac:dyDescent="0.35">
      <c r="A1561"/>
      <c r="B1561"/>
      <c r="C1561"/>
      <c r="D1561"/>
    </row>
    <row r="1562" spans="1:4" x14ac:dyDescent="0.35">
      <c r="A1562"/>
      <c r="B1562"/>
      <c r="C1562"/>
      <c r="D1562"/>
    </row>
    <row r="1563" spans="1:4" x14ac:dyDescent="0.35">
      <c r="A1563"/>
      <c r="B1563"/>
      <c r="C1563"/>
      <c r="D1563"/>
    </row>
    <row r="1564" spans="1:4" x14ac:dyDescent="0.35">
      <c r="A1564"/>
      <c r="B1564"/>
      <c r="C1564"/>
      <c r="D1564"/>
    </row>
    <row r="1565" spans="1:4" x14ac:dyDescent="0.35">
      <c r="A1565"/>
      <c r="B1565"/>
      <c r="C1565"/>
      <c r="D1565"/>
    </row>
    <row r="1566" spans="1:4" x14ac:dyDescent="0.35">
      <c r="A1566"/>
      <c r="B1566"/>
      <c r="C1566"/>
      <c r="D1566"/>
    </row>
    <row r="1567" spans="1:4" x14ac:dyDescent="0.35">
      <c r="A1567"/>
      <c r="B1567"/>
      <c r="C1567"/>
      <c r="D1567"/>
    </row>
    <row r="1568" spans="1:4" x14ac:dyDescent="0.35">
      <c r="A1568"/>
      <c r="B1568"/>
      <c r="C1568"/>
      <c r="D1568"/>
    </row>
    <row r="1569" spans="1:4" x14ac:dyDescent="0.35">
      <c r="A1569"/>
      <c r="B1569"/>
      <c r="C1569"/>
      <c r="D1569"/>
    </row>
    <row r="1570" spans="1:4" x14ac:dyDescent="0.35">
      <c r="A1570"/>
      <c r="B1570"/>
      <c r="C1570"/>
      <c r="D1570"/>
    </row>
    <row r="1571" spans="1:4" x14ac:dyDescent="0.35">
      <c r="A1571"/>
      <c r="B1571"/>
      <c r="C1571"/>
      <c r="D1571"/>
    </row>
    <row r="1572" spans="1:4" x14ac:dyDescent="0.35">
      <c r="A1572"/>
      <c r="B1572"/>
      <c r="C1572"/>
      <c r="D1572"/>
    </row>
    <row r="1573" spans="1:4" x14ac:dyDescent="0.35">
      <c r="A1573"/>
      <c r="B1573"/>
      <c r="C1573"/>
      <c r="D1573"/>
    </row>
    <row r="1574" spans="1:4" x14ac:dyDescent="0.35">
      <c r="A1574"/>
      <c r="B1574"/>
      <c r="C1574"/>
      <c r="D1574"/>
    </row>
    <row r="1575" spans="1:4" x14ac:dyDescent="0.35">
      <c r="A1575"/>
      <c r="B1575"/>
      <c r="C1575"/>
      <c r="D1575"/>
    </row>
    <row r="1576" spans="1:4" x14ac:dyDescent="0.35">
      <c r="A1576"/>
      <c r="B1576"/>
      <c r="C1576"/>
      <c r="D1576"/>
    </row>
    <row r="1577" spans="1:4" x14ac:dyDescent="0.35">
      <c r="A1577"/>
      <c r="B1577"/>
      <c r="C1577"/>
      <c r="D1577"/>
    </row>
    <row r="1578" spans="1:4" x14ac:dyDescent="0.35">
      <c r="A1578"/>
      <c r="B1578"/>
      <c r="C1578"/>
      <c r="D1578"/>
    </row>
    <row r="1579" spans="1:4" x14ac:dyDescent="0.35">
      <c r="A1579"/>
      <c r="B1579"/>
      <c r="C1579"/>
      <c r="D1579"/>
    </row>
    <row r="1580" spans="1:4" x14ac:dyDescent="0.35">
      <c r="A1580"/>
      <c r="B1580"/>
      <c r="C1580"/>
      <c r="D1580"/>
    </row>
    <row r="1581" spans="1:4" x14ac:dyDescent="0.35">
      <c r="A1581"/>
      <c r="B1581"/>
      <c r="C1581"/>
      <c r="D1581"/>
    </row>
    <row r="1582" spans="1:4" x14ac:dyDescent="0.35">
      <c r="A1582"/>
      <c r="B1582"/>
      <c r="C1582"/>
      <c r="D1582"/>
    </row>
    <row r="1583" spans="1:4" x14ac:dyDescent="0.35">
      <c r="A1583"/>
      <c r="B1583"/>
      <c r="C1583"/>
      <c r="D1583"/>
    </row>
    <row r="1584" spans="1:4" x14ac:dyDescent="0.35">
      <c r="A1584"/>
      <c r="B1584"/>
      <c r="C1584"/>
      <c r="D1584"/>
    </row>
    <row r="1585" spans="1:4" x14ac:dyDescent="0.35">
      <c r="A1585"/>
      <c r="B1585"/>
      <c r="C1585"/>
      <c r="D1585"/>
    </row>
    <row r="1586" spans="1:4" x14ac:dyDescent="0.35">
      <c r="A1586"/>
      <c r="B1586"/>
      <c r="C1586"/>
      <c r="D1586"/>
    </row>
    <row r="1587" spans="1:4" x14ac:dyDescent="0.35">
      <c r="A1587"/>
      <c r="B1587"/>
      <c r="C1587"/>
      <c r="D1587"/>
    </row>
    <row r="1588" spans="1:4" x14ac:dyDescent="0.35">
      <c r="A1588"/>
      <c r="B1588"/>
      <c r="C1588"/>
      <c r="D1588"/>
    </row>
    <row r="1589" spans="1:4" x14ac:dyDescent="0.35">
      <c r="A1589"/>
      <c r="B1589"/>
      <c r="C1589"/>
      <c r="D1589"/>
    </row>
    <row r="1590" spans="1:4" x14ac:dyDescent="0.35">
      <c r="A1590"/>
      <c r="B1590"/>
      <c r="C1590"/>
      <c r="D1590"/>
    </row>
    <row r="1591" spans="1:4" x14ac:dyDescent="0.35">
      <c r="A1591"/>
      <c r="B1591"/>
      <c r="C1591"/>
      <c r="D1591"/>
    </row>
    <row r="1592" spans="1:4" x14ac:dyDescent="0.35">
      <c r="A1592"/>
      <c r="B1592"/>
      <c r="C1592"/>
      <c r="D1592"/>
    </row>
    <row r="1593" spans="1:4" x14ac:dyDescent="0.35">
      <c r="A1593"/>
      <c r="B1593"/>
      <c r="C1593"/>
      <c r="D1593"/>
    </row>
    <row r="1594" spans="1:4" x14ac:dyDescent="0.35">
      <c r="A1594"/>
      <c r="B1594"/>
      <c r="C1594"/>
      <c r="D1594"/>
    </row>
    <row r="1595" spans="1:4" x14ac:dyDescent="0.35">
      <c r="A1595"/>
      <c r="B1595"/>
      <c r="C1595"/>
      <c r="D1595"/>
    </row>
    <row r="1596" spans="1:4" x14ac:dyDescent="0.35">
      <c r="A1596"/>
      <c r="B1596"/>
      <c r="C1596"/>
      <c r="D1596"/>
    </row>
    <row r="1597" spans="1:4" x14ac:dyDescent="0.35">
      <c r="A1597"/>
      <c r="B1597"/>
      <c r="C1597"/>
      <c r="D1597"/>
    </row>
    <row r="1598" spans="1:4" x14ac:dyDescent="0.35">
      <c r="A1598"/>
      <c r="B1598"/>
      <c r="C1598"/>
      <c r="D1598"/>
    </row>
    <row r="1599" spans="1:4" x14ac:dyDescent="0.35">
      <c r="A1599"/>
      <c r="B1599"/>
      <c r="C1599"/>
      <c r="D1599"/>
    </row>
    <row r="1600" spans="1:4" x14ac:dyDescent="0.35">
      <c r="A1600"/>
      <c r="B1600"/>
      <c r="C1600"/>
      <c r="D1600"/>
    </row>
    <row r="1601" spans="1:4" x14ac:dyDescent="0.35">
      <c r="A1601"/>
      <c r="B1601"/>
      <c r="C1601"/>
      <c r="D1601"/>
    </row>
    <row r="1602" spans="1:4" x14ac:dyDescent="0.35">
      <c r="A1602"/>
      <c r="B1602"/>
      <c r="C1602"/>
      <c r="D1602"/>
    </row>
    <row r="1603" spans="1:4" x14ac:dyDescent="0.35">
      <c r="A1603"/>
      <c r="B1603"/>
      <c r="C1603"/>
      <c r="D1603"/>
    </row>
    <row r="1604" spans="1:4" x14ac:dyDescent="0.35">
      <c r="A1604"/>
      <c r="B1604"/>
      <c r="C1604"/>
      <c r="D1604"/>
    </row>
    <row r="1605" spans="1:4" x14ac:dyDescent="0.35">
      <c r="A1605"/>
      <c r="B1605"/>
      <c r="C1605"/>
      <c r="D1605"/>
    </row>
    <row r="1606" spans="1:4" x14ac:dyDescent="0.35">
      <c r="A1606"/>
      <c r="B1606"/>
      <c r="C1606"/>
      <c r="D1606"/>
    </row>
    <row r="1607" spans="1:4" x14ac:dyDescent="0.35">
      <c r="A1607"/>
      <c r="B1607"/>
      <c r="C1607"/>
      <c r="D1607"/>
    </row>
    <row r="1608" spans="1:4" x14ac:dyDescent="0.35">
      <c r="A1608"/>
      <c r="B1608"/>
      <c r="C1608"/>
      <c r="D1608"/>
    </row>
    <row r="1609" spans="1:4" x14ac:dyDescent="0.35">
      <c r="A1609"/>
      <c r="B1609"/>
      <c r="C1609"/>
      <c r="D1609"/>
    </row>
    <row r="1610" spans="1:4" x14ac:dyDescent="0.35">
      <c r="A1610"/>
      <c r="B1610"/>
      <c r="C1610"/>
      <c r="D1610"/>
    </row>
    <row r="1611" spans="1:4" x14ac:dyDescent="0.35">
      <c r="A1611"/>
      <c r="B1611"/>
      <c r="C1611"/>
      <c r="D1611"/>
    </row>
    <row r="1612" spans="1:4" x14ac:dyDescent="0.35">
      <c r="A1612"/>
      <c r="B1612"/>
      <c r="C1612"/>
      <c r="D1612"/>
    </row>
    <row r="1613" spans="1:4" x14ac:dyDescent="0.35">
      <c r="A1613"/>
      <c r="B1613"/>
      <c r="C1613"/>
      <c r="D1613"/>
    </row>
    <row r="1614" spans="1:4" x14ac:dyDescent="0.35">
      <c r="A1614"/>
      <c r="B1614"/>
      <c r="C1614"/>
      <c r="D1614"/>
    </row>
    <row r="1615" spans="1:4" x14ac:dyDescent="0.35">
      <c r="A1615"/>
      <c r="B1615"/>
      <c r="C1615"/>
      <c r="D1615"/>
    </row>
    <row r="1616" spans="1:4" x14ac:dyDescent="0.35">
      <c r="A1616"/>
      <c r="B1616"/>
      <c r="C1616"/>
      <c r="D1616"/>
    </row>
    <row r="1617" spans="1:4" x14ac:dyDescent="0.35">
      <c r="A1617"/>
      <c r="B1617"/>
      <c r="C1617"/>
      <c r="D1617"/>
    </row>
    <row r="1618" spans="1:4" x14ac:dyDescent="0.35">
      <c r="A1618"/>
      <c r="B1618"/>
      <c r="C1618"/>
      <c r="D1618"/>
    </row>
    <row r="1619" spans="1:4" x14ac:dyDescent="0.35">
      <c r="A1619"/>
      <c r="B1619"/>
      <c r="C1619"/>
      <c r="D1619"/>
    </row>
    <row r="1620" spans="1:4" x14ac:dyDescent="0.35">
      <c r="A1620"/>
      <c r="B1620"/>
      <c r="C1620"/>
      <c r="D1620"/>
    </row>
    <row r="1621" spans="1:4" x14ac:dyDescent="0.35">
      <c r="A1621"/>
      <c r="B1621"/>
      <c r="C1621"/>
      <c r="D1621"/>
    </row>
    <row r="1622" spans="1:4" x14ac:dyDescent="0.35">
      <c r="A1622"/>
      <c r="B1622"/>
      <c r="C1622"/>
      <c r="D1622"/>
    </row>
    <row r="1623" spans="1:4" x14ac:dyDescent="0.35">
      <c r="A1623"/>
      <c r="B1623"/>
      <c r="C1623"/>
      <c r="D1623"/>
    </row>
    <row r="1624" spans="1:4" x14ac:dyDescent="0.35">
      <c r="A1624"/>
      <c r="B1624"/>
      <c r="C1624"/>
      <c r="D1624"/>
    </row>
    <row r="1625" spans="1:4" x14ac:dyDescent="0.35">
      <c r="A1625"/>
      <c r="B1625"/>
      <c r="C1625"/>
      <c r="D1625"/>
    </row>
    <row r="1626" spans="1:4" x14ac:dyDescent="0.35">
      <c r="A1626"/>
      <c r="B1626"/>
      <c r="C1626"/>
      <c r="D1626"/>
    </row>
    <row r="1627" spans="1:4" x14ac:dyDescent="0.35">
      <c r="A1627"/>
      <c r="B1627"/>
      <c r="C1627"/>
      <c r="D1627"/>
    </row>
    <row r="1628" spans="1:4" x14ac:dyDescent="0.35">
      <c r="A1628"/>
      <c r="B1628"/>
      <c r="C1628"/>
      <c r="D1628"/>
    </row>
    <row r="1629" spans="1:4" x14ac:dyDescent="0.35">
      <c r="A1629"/>
      <c r="B1629"/>
      <c r="C1629"/>
      <c r="D1629"/>
    </row>
    <row r="1630" spans="1:4" x14ac:dyDescent="0.35">
      <c r="A1630"/>
      <c r="B1630"/>
      <c r="C1630"/>
      <c r="D1630"/>
    </row>
    <row r="1631" spans="1:4" x14ac:dyDescent="0.35">
      <c r="A1631"/>
      <c r="B1631"/>
      <c r="C1631"/>
      <c r="D1631"/>
    </row>
    <row r="1632" spans="1:4" x14ac:dyDescent="0.35">
      <c r="A1632"/>
      <c r="B1632"/>
      <c r="C1632"/>
      <c r="D1632"/>
    </row>
    <row r="1633" spans="1:4" x14ac:dyDescent="0.35">
      <c r="A1633"/>
      <c r="B1633"/>
      <c r="C1633"/>
      <c r="D1633"/>
    </row>
    <row r="1634" spans="1:4" x14ac:dyDescent="0.35">
      <c r="A1634"/>
      <c r="B1634"/>
      <c r="C1634"/>
      <c r="D1634"/>
    </row>
    <row r="1635" spans="1:4" x14ac:dyDescent="0.35">
      <c r="A1635"/>
      <c r="B1635"/>
      <c r="C1635"/>
      <c r="D1635"/>
    </row>
    <row r="1636" spans="1:4" x14ac:dyDescent="0.35">
      <c r="A1636"/>
      <c r="B1636"/>
      <c r="C1636"/>
      <c r="D1636"/>
    </row>
    <row r="1637" spans="1:4" x14ac:dyDescent="0.35">
      <c r="A1637"/>
      <c r="B1637"/>
      <c r="C1637"/>
      <c r="D1637"/>
    </row>
    <row r="1638" spans="1:4" x14ac:dyDescent="0.35">
      <c r="A1638"/>
      <c r="B1638"/>
      <c r="C1638"/>
      <c r="D1638"/>
    </row>
    <row r="1639" spans="1:4" x14ac:dyDescent="0.35">
      <c r="A1639"/>
      <c r="B1639"/>
      <c r="C1639"/>
      <c r="D1639"/>
    </row>
    <row r="1640" spans="1:4" x14ac:dyDescent="0.35">
      <c r="A1640"/>
      <c r="B1640"/>
      <c r="C1640"/>
      <c r="D1640"/>
    </row>
    <row r="1641" spans="1:4" x14ac:dyDescent="0.35">
      <c r="A1641"/>
      <c r="B1641"/>
      <c r="C1641"/>
      <c r="D1641"/>
    </row>
    <row r="1642" spans="1:4" x14ac:dyDescent="0.35">
      <c r="A1642"/>
      <c r="B1642"/>
      <c r="C1642"/>
      <c r="D1642"/>
    </row>
    <row r="1643" spans="1:4" x14ac:dyDescent="0.35">
      <c r="A1643"/>
      <c r="B1643"/>
      <c r="C1643"/>
      <c r="D1643"/>
    </row>
    <row r="1644" spans="1:4" x14ac:dyDescent="0.35">
      <c r="A1644"/>
      <c r="B1644"/>
      <c r="C1644"/>
      <c r="D1644"/>
    </row>
    <row r="1645" spans="1:4" x14ac:dyDescent="0.35">
      <c r="A1645"/>
      <c r="B1645"/>
      <c r="C1645"/>
      <c r="D1645"/>
    </row>
    <row r="1646" spans="1:4" x14ac:dyDescent="0.35">
      <c r="A1646"/>
      <c r="B1646"/>
      <c r="C1646"/>
      <c r="D1646"/>
    </row>
    <row r="1647" spans="1:4" x14ac:dyDescent="0.35">
      <c r="A1647"/>
      <c r="B1647"/>
      <c r="C1647"/>
      <c r="D1647"/>
    </row>
    <row r="1648" spans="1:4" x14ac:dyDescent="0.35">
      <c r="A1648"/>
      <c r="B1648"/>
      <c r="C1648"/>
      <c r="D1648"/>
    </row>
    <row r="1649" spans="1:4" x14ac:dyDescent="0.35">
      <c r="A1649"/>
      <c r="B1649"/>
      <c r="C1649"/>
      <c r="D1649"/>
    </row>
    <row r="1650" spans="1:4" x14ac:dyDescent="0.35">
      <c r="A1650"/>
      <c r="B1650"/>
      <c r="C1650"/>
      <c r="D1650"/>
    </row>
    <row r="1651" spans="1:4" x14ac:dyDescent="0.35">
      <c r="A1651"/>
      <c r="B1651"/>
      <c r="C1651"/>
      <c r="D1651"/>
    </row>
    <row r="1652" spans="1:4" x14ac:dyDescent="0.35">
      <c r="A1652"/>
      <c r="B1652"/>
      <c r="C1652"/>
      <c r="D1652"/>
    </row>
    <row r="1653" spans="1:4" x14ac:dyDescent="0.35">
      <c r="A1653"/>
      <c r="B1653"/>
      <c r="C1653"/>
      <c r="D1653"/>
    </row>
    <row r="1654" spans="1:4" x14ac:dyDescent="0.35">
      <c r="A1654"/>
      <c r="B1654"/>
      <c r="C1654"/>
      <c r="D1654"/>
    </row>
    <row r="1655" spans="1:4" x14ac:dyDescent="0.35">
      <c r="A1655"/>
      <c r="B1655"/>
      <c r="C1655"/>
      <c r="D1655"/>
    </row>
    <row r="1656" spans="1:4" x14ac:dyDescent="0.35">
      <c r="A1656"/>
      <c r="B1656"/>
      <c r="C1656"/>
      <c r="D1656"/>
    </row>
    <row r="1657" spans="1:4" x14ac:dyDescent="0.35">
      <c r="A1657"/>
      <c r="B1657"/>
      <c r="C1657"/>
      <c r="D1657"/>
    </row>
    <row r="1658" spans="1:4" x14ac:dyDescent="0.35">
      <c r="A1658"/>
      <c r="B1658"/>
      <c r="C1658"/>
      <c r="D1658"/>
    </row>
    <row r="1659" spans="1:4" x14ac:dyDescent="0.35">
      <c r="A1659"/>
      <c r="B1659"/>
      <c r="C1659"/>
      <c r="D1659"/>
    </row>
    <row r="1660" spans="1:4" x14ac:dyDescent="0.35">
      <c r="A1660"/>
      <c r="B1660"/>
      <c r="C1660"/>
      <c r="D1660"/>
    </row>
    <row r="1661" spans="1:4" x14ac:dyDescent="0.35">
      <c r="A1661"/>
      <c r="B1661"/>
      <c r="C1661"/>
      <c r="D1661"/>
    </row>
    <row r="1662" spans="1:4" x14ac:dyDescent="0.35">
      <c r="A1662"/>
      <c r="B1662"/>
      <c r="C1662"/>
      <c r="D1662"/>
    </row>
    <row r="1663" spans="1:4" x14ac:dyDescent="0.35">
      <c r="A1663"/>
      <c r="B1663"/>
      <c r="C1663"/>
      <c r="D1663"/>
    </row>
    <row r="1664" spans="1:4" x14ac:dyDescent="0.35">
      <c r="A1664"/>
      <c r="B1664"/>
      <c r="C1664"/>
      <c r="D1664"/>
    </row>
    <row r="1665" spans="1:4" x14ac:dyDescent="0.35">
      <c r="A1665"/>
      <c r="B1665"/>
      <c r="C1665"/>
      <c r="D1665"/>
    </row>
    <row r="1666" spans="1:4" x14ac:dyDescent="0.35">
      <c r="A1666"/>
      <c r="B1666"/>
      <c r="C1666"/>
      <c r="D1666"/>
    </row>
    <row r="1667" spans="1:4" x14ac:dyDescent="0.35">
      <c r="A1667"/>
      <c r="B1667"/>
      <c r="C1667"/>
      <c r="D1667"/>
    </row>
    <row r="1668" spans="1:4" x14ac:dyDescent="0.35">
      <c r="A1668"/>
      <c r="B1668"/>
      <c r="C1668"/>
      <c r="D1668"/>
    </row>
    <row r="1669" spans="1:4" x14ac:dyDescent="0.35">
      <c r="A1669"/>
      <c r="B1669"/>
      <c r="C1669"/>
      <c r="D1669"/>
    </row>
    <row r="1670" spans="1:4" x14ac:dyDescent="0.35">
      <c r="A1670"/>
      <c r="B1670"/>
      <c r="C1670"/>
      <c r="D1670"/>
    </row>
    <row r="1671" spans="1:4" x14ac:dyDescent="0.35">
      <c r="A1671"/>
      <c r="B1671"/>
      <c r="C1671"/>
      <c r="D1671"/>
    </row>
    <row r="1672" spans="1:4" x14ac:dyDescent="0.35">
      <c r="A1672"/>
      <c r="B1672"/>
      <c r="C1672"/>
      <c r="D1672"/>
    </row>
    <row r="1673" spans="1:4" x14ac:dyDescent="0.35">
      <c r="A1673"/>
      <c r="B1673"/>
      <c r="C1673"/>
      <c r="D1673"/>
    </row>
    <row r="1674" spans="1:4" x14ac:dyDescent="0.35">
      <c r="A1674"/>
      <c r="B1674"/>
      <c r="C1674"/>
      <c r="D1674"/>
    </row>
    <row r="1675" spans="1:4" x14ac:dyDescent="0.35">
      <c r="A1675"/>
      <c r="B1675"/>
      <c r="C1675"/>
      <c r="D1675"/>
    </row>
    <row r="1676" spans="1:4" x14ac:dyDescent="0.35">
      <c r="A1676"/>
      <c r="B1676"/>
      <c r="C1676"/>
      <c r="D1676"/>
    </row>
    <row r="1677" spans="1:4" x14ac:dyDescent="0.35">
      <c r="A1677"/>
      <c r="B1677"/>
      <c r="C1677"/>
      <c r="D1677"/>
    </row>
    <row r="1678" spans="1:4" x14ac:dyDescent="0.35">
      <c r="A1678"/>
      <c r="B1678"/>
      <c r="C1678"/>
      <c r="D1678"/>
    </row>
    <row r="1679" spans="1:4" x14ac:dyDescent="0.35">
      <c r="A1679"/>
      <c r="B1679"/>
      <c r="C1679"/>
      <c r="D1679"/>
    </row>
    <row r="1680" spans="1:4" x14ac:dyDescent="0.35">
      <c r="A1680"/>
      <c r="B1680"/>
      <c r="C1680"/>
      <c r="D1680"/>
    </row>
    <row r="1681" spans="1:4" x14ac:dyDescent="0.35">
      <c r="A1681"/>
      <c r="B1681"/>
      <c r="C1681"/>
      <c r="D1681"/>
    </row>
    <row r="1682" spans="1:4" x14ac:dyDescent="0.35">
      <c r="A1682"/>
      <c r="B1682"/>
      <c r="C1682"/>
      <c r="D1682"/>
    </row>
    <row r="1683" spans="1:4" x14ac:dyDescent="0.35">
      <c r="A1683"/>
      <c r="B1683"/>
      <c r="C1683"/>
      <c r="D1683"/>
    </row>
    <row r="1684" spans="1:4" x14ac:dyDescent="0.35">
      <c r="A1684"/>
      <c r="B1684"/>
      <c r="C1684"/>
      <c r="D1684"/>
    </row>
    <row r="1685" spans="1:4" x14ac:dyDescent="0.35">
      <c r="A1685"/>
      <c r="B1685"/>
      <c r="C1685"/>
      <c r="D1685"/>
    </row>
    <row r="1686" spans="1:4" x14ac:dyDescent="0.35">
      <c r="A1686"/>
      <c r="B1686"/>
      <c r="C1686"/>
      <c r="D1686"/>
    </row>
    <row r="1687" spans="1:4" x14ac:dyDescent="0.35">
      <c r="A1687"/>
      <c r="B1687"/>
      <c r="C1687"/>
      <c r="D1687"/>
    </row>
    <row r="1688" spans="1:4" x14ac:dyDescent="0.35">
      <c r="A1688"/>
      <c r="B1688"/>
      <c r="C1688"/>
      <c r="D1688"/>
    </row>
    <row r="1689" spans="1:4" x14ac:dyDescent="0.35">
      <c r="A1689"/>
      <c r="B1689"/>
      <c r="C1689"/>
      <c r="D1689"/>
    </row>
    <row r="1690" spans="1:4" x14ac:dyDescent="0.35">
      <c r="A1690"/>
      <c r="B1690"/>
      <c r="C1690"/>
      <c r="D1690"/>
    </row>
    <row r="1691" spans="1:4" x14ac:dyDescent="0.35">
      <c r="A1691"/>
      <c r="B1691"/>
      <c r="C1691"/>
      <c r="D1691"/>
    </row>
    <row r="1692" spans="1:4" x14ac:dyDescent="0.35">
      <c r="A1692"/>
      <c r="B1692"/>
      <c r="C1692"/>
      <c r="D1692"/>
    </row>
    <row r="1693" spans="1:4" x14ac:dyDescent="0.35">
      <c r="A1693"/>
      <c r="B1693"/>
      <c r="C1693"/>
      <c r="D1693"/>
    </row>
    <row r="1694" spans="1:4" x14ac:dyDescent="0.35">
      <c r="A1694"/>
      <c r="B1694"/>
      <c r="C1694"/>
      <c r="D1694"/>
    </row>
    <row r="1695" spans="1:4" x14ac:dyDescent="0.35">
      <c r="A1695"/>
      <c r="B1695"/>
      <c r="C1695"/>
      <c r="D1695"/>
    </row>
    <row r="1696" spans="1:4" x14ac:dyDescent="0.35">
      <c r="A1696"/>
      <c r="B1696"/>
      <c r="C1696"/>
      <c r="D1696"/>
    </row>
    <row r="1697" spans="1:4" x14ac:dyDescent="0.35">
      <c r="A1697"/>
      <c r="B1697"/>
      <c r="C1697"/>
      <c r="D1697"/>
    </row>
    <row r="1698" spans="1:4" x14ac:dyDescent="0.35">
      <c r="A1698"/>
      <c r="B1698"/>
      <c r="C1698"/>
      <c r="D1698"/>
    </row>
    <row r="1699" spans="1:4" x14ac:dyDescent="0.35">
      <c r="A1699"/>
      <c r="B1699"/>
      <c r="C1699"/>
      <c r="D1699"/>
    </row>
    <row r="1700" spans="1:4" x14ac:dyDescent="0.35">
      <c r="A1700"/>
      <c r="B1700"/>
      <c r="C1700"/>
      <c r="D1700"/>
    </row>
    <row r="1701" spans="1:4" x14ac:dyDescent="0.35">
      <c r="A1701"/>
      <c r="B1701"/>
      <c r="C1701"/>
      <c r="D1701"/>
    </row>
    <row r="1702" spans="1:4" x14ac:dyDescent="0.35">
      <c r="A1702"/>
      <c r="B1702"/>
      <c r="C1702"/>
      <c r="D1702"/>
    </row>
    <row r="1703" spans="1:4" x14ac:dyDescent="0.35">
      <c r="A1703"/>
      <c r="B1703"/>
      <c r="C1703"/>
      <c r="D1703"/>
    </row>
    <row r="1704" spans="1:4" x14ac:dyDescent="0.35">
      <c r="A1704"/>
      <c r="B1704"/>
      <c r="C1704"/>
      <c r="D1704"/>
    </row>
    <row r="1705" spans="1:4" x14ac:dyDescent="0.35">
      <c r="A1705"/>
      <c r="B1705"/>
      <c r="C1705"/>
      <c r="D1705"/>
    </row>
    <row r="1706" spans="1:4" x14ac:dyDescent="0.35">
      <c r="A1706"/>
      <c r="B1706"/>
      <c r="C1706"/>
      <c r="D1706"/>
    </row>
    <row r="1707" spans="1:4" x14ac:dyDescent="0.35">
      <c r="A1707"/>
      <c r="B1707"/>
      <c r="C1707"/>
      <c r="D1707"/>
    </row>
    <row r="1708" spans="1:4" x14ac:dyDescent="0.35">
      <c r="A1708"/>
      <c r="B1708"/>
      <c r="C1708"/>
      <c r="D1708"/>
    </row>
    <row r="1709" spans="1:4" x14ac:dyDescent="0.35">
      <c r="A1709"/>
      <c r="B1709"/>
      <c r="C1709"/>
      <c r="D1709"/>
    </row>
    <row r="1710" spans="1:4" x14ac:dyDescent="0.35">
      <c r="A1710"/>
      <c r="B1710"/>
      <c r="C1710"/>
      <c r="D1710"/>
    </row>
    <row r="1711" spans="1:4" x14ac:dyDescent="0.35">
      <c r="A1711"/>
      <c r="B1711"/>
      <c r="C1711"/>
      <c r="D1711"/>
    </row>
    <row r="1712" spans="1:4" x14ac:dyDescent="0.35">
      <c r="A1712"/>
      <c r="B1712"/>
      <c r="C1712"/>
      <c r="D1712"/>
    </row>
    <row r="1713" spans="1:4" x14ac:dyDescent="0.35">
      <c r="A1713"/>
      <c r="B1713"/>
      <c r="C1713"/>
      <c r="D1713"/>
    </row>
    <row r="1714" spans="1:4" x14ac:dyDescent="0.35">
      <c r="A1714"/>
      <c r="B1714"/>
      <c r="C1714"/>
      <c r="D1714"/>
    </row>
    <row r="1715" spans="1:4" x14ac:dyDescent="0.35">
      <c r="A1715"/>
      <c r="B1715"/>
      <c r="C1715"/>
      <c r="D1715"/>
    </row>
    <row r="1716" spans="1:4" x14ac:dyDescent="0.35">
      <c r="A1716"/>
      <c r="B1716"/>
      <c r="C1716"/>
      <c r="D1716"/>
    </row>
    <row r="1717" spans="1:4" x14ac:dyDescent="0.35">
      <c r="A1717"/>
      <c r="B1717"/>
      <c r="C1717"/>
      <c r="D1717"/>
    </row>
    <row r="1718" spans="1:4" x14ac:dyDescent="0.35">
      <c r="A1718"/>
      <c r="B1718"/>
      <c r="C1718"/>
      <c r="D1718"/>
    </row>
    <row r="1719" spans="1:4" x14ac:dyDescent="0.35">
      <c r="A1719"/>
      <c r="B1719"/>
      <c r="C1719"/>
      <c r="D1719"/>
    </row>
    <row r="1720" spans="1:4" x14ac:dyDescent="0.35">
      <c r="A1720"/>
      <c r="B1720"/>
      <c r="C1720"/>
      <c r="D1720"/>
    </row>
    <row r="1721" spans="1:4" x14ac:dyDescent="0.35">
      <c r="A1721"/>
      <c r="B1721"/>
      <c r="C1721"/>
      <c r="D1721"/>
    </row>
    <row r="1722" spans="1:4" x14ac:dyDescent="0.35">
      <c r="A1722"/>
      <c r="B1722"/>
      <c r="C1722"/>
      <c r="D1722"/>
    </row>
  </sheetData>
  <mergeCells count="2">
    <mergeCell ref="A1:F1"/>
    <mergeCell ref="A2:F2"/>
  </mergeCells>
  <dataValidations count="1">
    <dataValidation type="list" allowBlank="1" showInputMessage="1" showErrorMessage="1" sqref="A4:A48" xr:uid="{D9CC2091-BCFF-4220-9335-6D08B7411408}">
      <formula1>"AC,AL,AP,AM,BA,CE,DF,ES,GO,MA,MT,MS,MG,PA,PB,PR,PE,PI,RJ,RN,RS,RO,RR,SC,SP,SE,TO"</formula1>
    </dataValidation>
  </dataValidations>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A31B-2C10-4433-BEB5-93BCE38B58CB}">
  <dimension ref="A1:D42"/>
  <sheetViews>
    <sheetView zoomScale="80" zoomScaleNormal="80" workbookViewId="0">
      <selection activeCell="A10" sqref="A10:D10"/>
    </sheetView>
  </sheetViews>
  <sheetFormatPr defaultColWidth="9.453125" defaultRowHeight="14.5" x14ac:dyDescent="0.35"/>
  <cols>
    <col min="1" max="1" width="41" style="216" customWidth="1"/>
    <col min="2" max="2" width="51.90625" style="216" customWidth="1"/>
    <col min="3" max="3" width="45.54296875" style="216" customWidth="1"/>
    <col min="4" max="4" width="151" style="216" bestFit="1" customWidth="1"/>
    <col min="5" max="16384" width="9.453125" style="216"/>
  </cols>
  <sheetData>
    <row r="1" spans="1:4" s="78" customFormat="1" ht="80.150000000000006" customHeight="1" x14ac:dyDescent="0.35">
      <c r="A1" s="271" t="s">
        <v>36</v>
      </c>
      <c r="B1" s="271"/>
      <c r="C1" s="271"/>
      <c r="D1" s="271"/>
    </row>
    <row r="2" spans="1:4" s="78" customFormat="1" ht="30" customHeight="1" x14ac:dyDescent="0.35">
      <c r="A2" s="283" t="s">
        <v>150</v>
      </c>
      <c r="B2" s="283"/>
      <c r="C2" s="283"/>
      <c r="D2" s="283"/>
    </row>
    <row r="3" spans="1:4" ht="20.149999999999999" customHeight="1" x14ac:dyDescent="0.35">
      <c r="A3" s="253" t="s">
        <v>106</v>
      </c>
      <c r="B3" s="253" t="s">
        <v>151</v>
      </c>
      <c r="C3" s="253" t="s">
        <v>152</v>
      </c>
      <c r="D3" s="253" t="s">
        <v>153</v>
      </c>
    </row>
    <row r="4" spans="1:4" ht="20.149999999999999" customHeight="1" x14ac:dyDescent="0.35">
      <c r="A4" s="252" t="s">
        <v>964</v>
      </c>
      <c r="B4" s="252" t="s">
        <v>3519</v>
      </c>
      <c r="C4" s="252" t="s">
        <v>3524</v>
      </c>
      <c r="D4" s="252" t="s">
        <v>3512</v>
      </c>
    </row>
    <row r="5" spans="1:4" ht="20.149999999999999" customHeight="1" x14ac:dyDescent="0.35">
      <c r="A5" s="252" t="s">
        <v>964</v>
      </c>
      <c r="B5" s="252" t="s">
        <v>3518</v>
      </c>
      <c r="C5" s="252"/>
      <c r="D5" s="252" t="s">
        <v>3513</v>
      </c>
    </row>
    <row r="6" spans="1:4" ht="20.149999999999999" customHeight="1" x14ac:dyDescent="0.35">
      <c r="A6" s="252" t="s">
        <v>964</v>
      </c>
      <c r="B6" s="252" t="s">
        <v>3520</v>
      </c>
      <c r="C6" s="252" t="s">
        <v>3525</v>
      </c>
      <c r="D6" s="252" t="s">
        <v>3514</v>
      </c>
    </row>
    <row r="7" spans="1:4" ht="20.149999999999999" customHeight="1" x14ac:dyDescent="0.35">
      <c r="A7" s="252" t="s">
        <v>964</v>
      </c>
      <c r="B7" s="252" t="s">
        <v>3521</v>
      </c>
      <c r="C7" s="252" t="s">
        <v>3526</v>
      </c>
      <c r="D7" s="252" t="s">
        <v>3515</v>
      </c>
    </row>
    <row r="8" spans="1:4" ht="20.149999999999999" customHeight="1" x14ac:dyDescent="0.35">
      <c r="A8" s="252" t="s">
        <v>964</v>
      </c>
      <c r="B8" s="252" t="s">
        <v>3522</v>
      </c>
      <c r="C8" s="252" t="s">
        <v>3527</v>
      </c>
      <c r="D8" s="252" t="s">
        <v>3516</v>
      </c>
    </row>
    <row r="9" spans="1:4" ht="20.149999999999999" customHeight="1" x14ac:dyDescent="0.35">
      <c r="A9" s="252" t="s">
        <v>964</v>
      </c>
      <c r="B9" s="252" t="s">
        <v>3523</v>
      </c>
      <c r="C9" s="252" t="s">
        <v>3528</v>
      </c>
      <c r="D9" s="252" t="s">
        <v>3517</v>
      </c>
    </row>
    <row r="10" spans="1:4" ht="20.149999999999999" customHeight="1" x14ac:dyDescent="0.35">
      <c r="A10" s="252"/>
      <c r="B10" s="252"/>
      <c r="C10" s="252"/>
      <c r="D10" s="252"/>
    </row>
    <row r="11" spans="1:4" ht="20.149999999999999" customHeight="1" x14ac:dyDescent="0.35">
      <c r="A11" s="252"/>
      <c r="B11" s="252"/>
      <c r="C11" s="252"/>
      <c r="D11" s="252"/>
    </row>
    <row r="12" spans="1:4" ht="20.149999999999999" customHeight="1" x14ac:dyDescent="0.35">
      <c r="A12" s="252"/>
      <c r="B12" s="252"/>
      <c r="C12" s="252"/>
      <c r="D12" s="252"/>
    </row>
    <row r="13" spans="1:4" ht="20.149999999999999" customHeight="1" x14ac:dyDescent="0.35">
      <c r="A13" s="252"/>
      <c r="B13" s="252"/>
      <c r="C13" s="252"/>
      <c r="D13" s="252"/>
    </row>
    <row r="14" spans="1:4" ht="20.149999999999999" customHeight="1" x14ac:dyDescent="0.35">
      <c r="A14" s="252"/>
      <c r="B14" s="252"/>
      <c r="C14" s="252"/>
      <c r="D14" s="252"/>
    </row>
    <row r="15" spans="1:4" ht="20.149999999999999" customHeight="1" x14ac:dyDescent="0.35">
      <c r="A15" s="252"/>
      <c r="B15" s="252"/>
      <c r="C15" s="252"/>
      <c r="D15" s="252"/>
    </row>
    <row r="16" spans="1:4" ht="20.149999999999999" customHeight="1" x14ac:dyDescent="0.35">
      <c r="A16" s="252"/>
      <c r="B16" s="252"/>
      <c r="C16" s="252"/>
      <c r="D16" s="252"/>
    </row>
    <row r="17" spans="1:4" ht="20.149999999999999" customHeight="1" x14ac:dyDescent="0.35">
      <c r="A17" s="252"/>
      <c r="B17" s="252"/>
      <c r="C17" s="252"/>
      <c r="D17" s="252"/>
    </row>
    <row r="18" spans="1:4" ht="20.149999999999999" customHeight="1" x14ac:dyDescent="0.35">
      <c r="A18" s="252"/>
      <c r="B18" s="252"/>
      <c r="C18" s="252"/>
      <c r="D18" s="252"/>
    </row>
    <row r="19" spans="1:4" ht="20.149999999999999" customHeight="1" x14ac:dyDescent="0.35">
      <c r="A19" s="252"/>
      <c r="B19" s="252"/>
      <c r="C19" s="252"/>
      <c r="D19" s="252"/>
    </row>
    <row r="20" spans="1:4" ht="20.149999999999999" customHeight="1" x14ac:dyDescent="0.35">
      <c r="A20" s="252"/>
      <c r="B20" s="252"/>
      <c r="C20" s="252"/>
      <c r="D20" s="252"/>
    </row>
    <row r="21" spans="1:4" ht="20.149999999999999" customHeight="1" x14ac:dyDescent="0.35">
      <c r="A21" s="252"/>
      <c r="B21" s="252"/>
      <c r="C21" s="252"/>
      <c r="D21" s="252"/>
    </row>
    <row r="22" spans="1:4" ht="20.149999999999999" customHeight="1" x14ac:dyDescent="0.35">
      <c r="A22" s="252"/>
      <c r="B22" s="252"/>
      <c r="C22" s="252"/>
      <c r="D22" s="252"/>
    </row>
    <row r="23" spans="1:4" ht="20.149999999999999" customHeight="1" x14ac:dyDescent="0.35">
      <c r="A23" s="252"/>
      <c r="B23" s="252"/>
      <c r="C23" s="252"/>
      <c r="D23" s="252"/>
    </row>
    <row r="24" spans="1:4" ht="20.149999999999999" customHeight="1" x14ac:dyDescent="0.35">
      <c r="A24" s="252"/>
      <c r="B24" s="252"/>
      <c r="C24" s="252"/>
      <c r="D24" s="252"/>
    </row>
    <row r="25" spans="1:4" ht="20.149999999999999" customHeight="1" x14ac:dyDescent="0.35">
      <c r="A25" s="252"/>
      <c r="B25" s="252"/>
      <c r="C25" s="252"/>
      <c r="D25" s="252"/>
    </row>
    <row r="26" spans="1:4" ht="20.149999999999999" customHeight="1" x14ac:dyDescent="0.35">
      <c r="A26" s="252"/>
      <c r="B26" s="252"/>
      <c r="C26" s="252"/>
      <c r="D26" s="252"/>
    </row>
    <row r="27" spans="1:4" ht="20.149999999999999" customHeight="1" x14ac:dyDescent="0.35">
      <c r="A27" s="252"/>
      <c r="B27" s="252"/>
      <c r="C27" s="252"/>
      <c r="D27" s="252"/>
    </row>
    <row r="28" spans="1:4" ht="20.149999999999999" customHeight="1" x14ac:dyDescent="0.35">
      <c r="A28" s="252"/>
      <c r="B28" s="252"/>
      <c r="C28" s="252"/>
      <c r="D28" s="252"/>
    </row>
    <row r="29" spans="1:4" ht="20.149999999999999" customHeight="1" x14ac:dyDescent="0.35">
      <c r="A29" s="252"/>
      <c r="B29" s="252"/>
      <c r="C29" s="252"/>
      <c r="D29" s="252"/>
    </row>
    <row r="30" spans="1:4" ht="20.149999999999999" customHeight="1" x14ac:dyDescent="0.35">
      <c r="A30" s="252"/>
      <c r="B30" s="252"/>
      <c r="C30" s="252"/>
      <c r="D30" s="252"/>
    </row>
    <row r="31" spans="1:4" ht="20.149999999999999" customHeight="1" x14ac:dyDescent="0.35">
      <c r="A31" s="252"/>
      <c r="B31" s="252"/>
      <c r="C31" s="252"/>
      <c r="D31" s="252"/>
    </row>
    <row r="32" spans="1:4" ht="20.149999999999999" customHeight="1" x14ac:dyDescent="0.35">
      <c r="A32" s="252"/>
      <c r="B32" s="252"/>
      <c r="C32" s="252"/>
      <c r="D32" s="252"/>
    </row>
    <row r="33" spans="1:4" ht="20.149999999999999" customHeight="1" x14ac:dyDescent="0.35">
      <c r="A33" s="252"/>
      <c r="B33" s="252"/>
      <c r="C33" s="252"/>
      <c r="D33" s="252"/>
    </row>
    <row r="34" spans="1:4" ht="20.149999999999999" customHeight="1" x14ac:dyDescent="0.35">
      <c r="A34" s="252"/>
      <c r="B34" s="252"/>
      <c r="C34" s="252"/>
      <c r="D34" s="252"/>
    </row>
    <row r="35" spans="1:4" ht="20.149999999999999" customHeight="1" x14ac:dyDescent="0.35">
      <c r="A35" s="252"/>
      <c r="B35" s="252"/>
      <c r="C35" s="252"/>
      <c r="D35" s="252"/>
    </row>
    <row r="36" spans="1:4" ht="20.149999999999999" customHeight="1" x14ac:dyDescent="0.35">
      <c r="A36" s="252"/>
      <c r="B36" s="252"/>
      <c r="C36" s="252"/>
      <c r="D36" s="252"/>
    </row>
    <row r="37" spans="1:4" ht="20.149999999999999" customHeight="1" x14ac:dyDescent="0.35">
      <c r="A37" s="252"/>
      <c r="B37" s="252"/>
      <c r="C37" s="252"/>
      <c r="D37" s="252"/>
    </row>
    <row r="38" spans="1:4" ht="20.149999999999999" customHeight="1" x14ac:dyDescent="0.35">
      <c r="A38" s="252"/>
      <c r="B38" s="252"/>
      <c r="C38" s="252"/>
      <c r="D38" s="252"/>
    </row>
    <row r="39" spans="1:4" ht="20.149999999999999" customHeight="1" x14ac:dyDescent="0.35">
      <c r="A39" s="252"/>
      <c r="B39" s="252"/>
      <c r="C39" s="252"/>
      <c r="D39" s="252"/>
    </row>
    <row r="40" spans="1:4" ht="20.149999999999999" customHeight="1" x14ac:dyDescent="0.35">
      <c r="A40" s="252"/>
      <c r="B40" s="252"/>
      <c r="C40" s="252"/>
      <c r="D40" s="252"/>
    </row>
    <row r="41" spans="1:4" ht="20.149999999999999" customHeight="1" x14ac:dyDescent="0.35">
      <c r="A41" s="252"/>
      <c r="B41" s="252"/>
      <c r="C41" s="252"/>
      <c r="D41" s="252"/>
    </row>
    <row r="42" spans="1:4" ht="20.149999999999999" customHeight="1" x14ac:dyDescent="0.35">
      <c r="A42" s="252"/>
      <c r="B42" s="252"/>
      <c r="C42" s="252"/>
      <c r="D42" s="252"/>
    </row>
  </sheetData>
  <mergeCells count="2">
    <mergeCell ref="A1:D1"/>
    <mergeCell ref="A2:D2"/>
  </mergeCells>
  <dataValidations count="1">
    <dataValidation type="list" allowBlank="1" showInputMessage="1" showErrorMessage="1" sqref="A4:A9 A10:A42" xr:uid="{41D73134-9EE1-41A4-9947-B78F516C5503}">
      <formula1>"AC,AL,AP,AM,BA,CE,DF,ES,GO,MA,MT,MS,MG,PA,PB,PR,PE,PI,RJ,RN,RS,RO,RR,SC,SP,SE,TO"</formula1>
    </dataValidation>
  </dataValidations>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56B91-90EF-48E9-8893-31451AAF7866}">
  <dimension ref="A1:B8"/>
  <sheetViews>
    <sheetView tabSelected="1" zoomScale="80" zoomScaleNormal="80" workbookViewId="0">
      <selection activeCell="A16" sqref="A16"/>
    </sheetView>
  </sheetViews>
  <sheetFormatPr defaultColWidth="9.453125" defaultRowHeight="14.5" x14ac:dyDescent="0.35"/>
  <cols>
    <col min="1" max="1" width="107.08984375" style="218" customWidth="1"/>
    <col min="2" max="2" width="70.08984375" style="216" customWidth="1"/>
    <col min="3" max="16384" width="9.453125" style="216"/>
  </cols>
  <sheetData>
    <row r="1" spans="1:2" s="78" customFormat="1" ht="80.150000000000006" customHeight="1" x14ac:dyDescent="0.35">
      <c r="A1" s="271" t="s">
        <v>36</v>
      </c>
      <c r="B1" s="276"/>
    </row>
    <row r="2" spans="1:2" s="78" customFormat="1" ht="20.149999999999999" customHeight="1" x14ac:dyDescent="0.35">
      <c r="A2" s="274" t="s">
        <v>154</v>
      </c>
      <c r="B2" s="275"/>
    </row>
    <row r="3" spans="1:2" s="78" customFormat="1" ht="20.149999999999999" customHeight="1" x14ac:dyDescent="0.35">
      <c r="A3" s="251" t="s">
        <v>155</v>
      </c>
      <c r="B3" s="251" t="s">
        <v>156</v>
      </c>
    </row>
    <row r="4" spans="1:2" ht="40.5" customHeight="1" x14ac:dyDescent="0.35">
      <c r="A4" s="253" t="s">
        <v>157</v>
      </c>
      <c r="B4" s="270" t="s">
        <v>3529</v>
      </c>
    </row>
    <row r="5" spans="1:2" ht="40.5" customHeight="1" x14ac:dyDescent="0.35">
      <c r="A5" s="253" t="s">
        <v>158</v>
      </c>
      <c r="B5" s="270" t="s">
        <v>3530</v>
      </c>
    </row>
    <row r="6" spans="1:2" ht="40.5" customHeight="1" x14ac:dyDescent="0.35">
      <c r="A6" s="253" t="s">
        <v>159</v>
      </c>
      <c r="B6" s="270">
        <v>1</v>
      </c>
    </row>
    <row r="7" spans="1:2" ht="40.5" customHeight="1" x14ac:dyDescent="0.35">
      <c r="A7" s="254" t="s">
        <v>160</v>
      </c>
      <c r="B7" s="270" t="s">
        <v>3531</v>
      </c>
    </row>
    <row r="8" spans="1:2" ht="40.5" customHeight="1" x14ac:dyDescent="0.35">
      <c r="A8" s="253" t="s">
        <v>161</v>
      </c>
      <c r="B8" s="270" t="s">
        <v>3532</v>
      </c>
    </row>
  </sheetData>
  <mergeCells count="2">
    <mergeCell ref="A1:B1"/>
    <mergeCell ref="A2:B2"/>
  </mergeCells>
  <dataValidations count="1">
    <dataValidation type="list" allowBlank="1" showInputMessage="1" showErrorMessage="1" sqref="A9:A43" xr:uid="{BF72E70C-2DD7-41C4-A843-F9AF91199025}">
      <formula1>"AC,AL,AP,AM,BA,CE,DF,ES,GO,MA,MT,MS,MG,PA,PB,PR,PE,PI,RJ,RN,RS,RO,RR,SC,SP,SE,TO"</formula1>
    </dataValidation>
  </dataValidations>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
  <dimension ref="B1:Q49"/>
  <sheetViews>
    <sheetView topLeftCell="A4" zoomScaleNormal="100" workbookViewId="0">
      <selection activeCell="D35" sqref="D35"/>
    </sheetView>
  </sheetViews>
  <sheetFormatPr defaultColWidth="9.453125" defaultRowHeight="14.5" x14ac:dyDescent="0.35"/>
  <cols>
    <col min="2" max="2" width="2" bestFit="1" customWidth="1"/>
    <col min="3" max="3" width="55" bestFit="1" customWidth="1"/>
    <col min="4" max="4" width="19.54296875" bestFit="1" customWidth="1"/>
    <col min="5" max="5" width="7.54296875" bestFit="1" customWidth="1"/>
    <col min="6" max="6" width="7.54296875" customWidth="1"/>
    <col min="8" max="8" width="35.54296875" customWidth="1"/>
    <col min="9" max="9" width="10.54296875" bestFit="1" customWidth="1"/>
    <col min="10" max="10" width="10.54296875" customWidth="1"/>
    <col min="19" max="19" width="11.453125" customWidth="1"/>
  </cols>
  <sheetData>
    <row r="1" spans="2:17" ht="15" thickBot="1" x14ac:dyDescent="0.4">
      <c r="B1" s="51"/>
      <c r="D1" s="51"/>
      <c r="E1" s="51"/>
      <c r="F1" s="51"/>
      <c r="G1" s="51"/>
      <c r="H1" s="51"/>
      <c r="I1" s="51"/>
      <c r="J1" s="51"/>
      <c r="K1" s="2"/>
      <c r="L1" s="2"/>
      <c r="M1" s="2"/>
      <c r="N1" s="2"/>
      <c r="O1" s="2"/>
      <c r="P1" s="2"/>
      <c r="Q1" s="2"/>
    </row>
    <row r="2" spans="2:17" x14ac:dyDescent="0.35">
      <c r="B2" s="52"/>
      <c r="C2" s="284" t="s">
        <v>162</v>
      </c>
      <c r="D2" s="284"/>
      <c r="E2" s="284"/>
      <c r="F2" s="284"/>
      <c r="G2" s="284"/>
      <c r="H2" s="284"/>
      <c r="I2" s="284"/>
      <c r="J2" s="18"/>
      <c r="K2" s="2"/>
      <c r="L2" s="285" t="s">
        <v>163</v>
      </c>
      <c r="M2" s="286"/>
      <c r="N2" s="286"/>
      <c r="O2" s="286"/>
      <c r="P2" s="286"/>
      <c r="Q2" s="287"/>
    </row>
    <row r="3" spans="2:17" x14ac:dyDescent="0.35">
      <c r="B3" s="53"/>
      <c r="D3" s="51"/>
      <c r="E3" s="51"/>
      <c r="F3" s="51"/>
      <c r="G3" s="51"/>
      <c r="H3" s="51"/>
      <c r="I3" s="51"/>
      <c r="J3" s="54"/>
      <c r="K3" s="2"/>
      <c r="L3" s="55"/>
      <c r="M3" s="2"/>
      <c r="N3" s="2"/>
      <c r="O3" s="2"/>
      <c r="P3" s="2"/>
      <c r="Q3" s="56"/>
    </row>
    <row r="4" spans="2:17" x14ac:dyDescent="0.35">
      <c r="B4" s="53"/>
      <c r="C4" s="170" t="s">
        <v>164</v>
      </c>
      <c r="D4" s="171" t="s">
        <v>165</v>
      </c>
      <c r="E4" s="10" t="s">
        <v>166</v>
      </c>
      <c r="F4" s="51"/>
      <c r="G4" s="51"/>
      <c r="H4" s="170" t="s">
        <v>167</v>
      </c>
      <c r="I4" s="171" t="s">
        <v>168</v>
      </c>
      <c r="J4" s="172" t="s">
        <v>166</v>
      </c>
      <c r="K4" s="2"/>
      <c r="L4" s="288" t="s">
        <v>169</v>
      </c>
      <c r="M4" s="289"/>
      <c r="N4" s="289"/>
      <c r="O4" s="289"/>
      <c r="P4" s="289"/>
      <c r="Q4" s="290"/>
    </row>
    <row r="5" spans="2:17" x14ac:dyDescent="0.35">
      <c r="B5" s="53"/>
      <c r="C5" s="211" t="s">
        <v>170</v>
      </c>
      <c r="D5" s="173" t="e">
        <f>IF(#REF!="SAP","SAP",IF(#REF!="Oracle 11i","Oracle 11i",IF(#REF!="Oracle R12","Oracle R12","Other")))</f>
        <v>#REF!</v>
      </c>
      <c r="E5" s="179" t="e">
        <f>IF(D5="","-",VLOOKUP(D5,ERP[],2,FALSE))</f>
        <v>#REF!</v>
      </c>
      <c r="F5" s="51"/>
      <c r="G5" s="51"/>
      <c r="H5" s="205" t="s">
        <v>171</v>
      </c>
      <c r="I5" s="200" t="str">
        <f>IF(Geral!B5&lt;10,"&lt;10",IF(Geral!B5&lt;26,"10-25","&gt;25"))</f>
        <v>&gt;25</v>
      </c>
      <c r="J5" s="187">
        <f>IFERROR(VLOOKUP(I5,Branch[],2,FALSE),"")</f>
        <v>2</v>
      </c>
      <c r="K5" s="2"/>
      <c r="L5" s="288"/>
      <c r="M5" s="289"/>
      <c r="N5" s="289"/>
      <c r="O5" s="289"/>
      <c r="P5" s="289"/>
      <c r="Q5" s="290"/>
    </row>
    <row r="6" spans="2:17" x14ac:dyDescent="0.35">
      <c r="B6" s="53"/>
      <c r="C6" s="178" t="s">
        <v>172</v>
      </c>
      <c r="D6" s="174" t="e">
        <f>IF(Geral!#REF!="Produtos","Goods",IF(Geral!#REF!="Serviços","Service","Both"))</f>
        <v>#REF!</v>
      </c>
      <c r="E6" s="179" t="e">
        <f>IF(D6="","-",VLOOKUP(D6,Type[],2,FALSE))</f>
        <v>#REF!</v>
      </c>
      <c r="F6" s="51"/>
      <c r="G6" s="51"/>
      <c r="H6" s="206" t="s">
        <v>173</v>
      </c>
      <c r="I6" s="201" t="str">
        <f>IF(Geral!B6&lt;9,"&lt;9 States",IF(Geral!B6&lt;19,"9-18 States","&gt;18 States"))</f>
        <v>&gt;18 States</v>
      </c>
      <c r="J6" s="188">
        <f>IFERROR(VLOOKUP(I6,States[],2,FALSE),"")</f>
        <v>2</v>
      </c>
      <c r="K6" s="2"/>
      <c r="L6" s="288"/>
      <c r="M6" s="289"/>
      <c r="N6" s="289"/>
      <c r="O6" s="289"/>
      <c r="P6" s="289"/>
      <c r="Q6" s="290"/>
    </row>
    <row r="7" spans="2:17" x14ac:dyDescent="0.35">
      <c r="B7" s="53"/>
      <c r="C7" s="178" t="s">
        <v>174</v>
      </c>
      <c r="D7" s="174" t="e">
        <f>IF(Geral!#REF!="Compras","PTP",IF(Geral!#REF!="Vendas","OTC","Both"))</f>
        <v>#REF!</v>
      </c>
      <c r="E7" s="179" t="e">
        <f>IF(D7="","-",VLOOKUP(D7,Scope[],2,FALSE))</f>
        <v>#REF!</v>
      </c>
      <c r="F7" s="51"/>
      <c r="G7" s="51"/>
      <c r="H7" s="206" t="s">
        <v>175</v>
      </c>
      <c r="I7" s="201" t="e">
        <f>IF(Geral!#REF!&lt;100,"&lt;100",IF(Geral!#REF!&lt;251,"100-250",IF(Geral!#REF!&lt;401,"250-400",IF(Geral!#REF!&lt;701,"400-700",IF(Geral!#REF!&lt;1001,"700-1000","&gt;1000")))))</f>
        <v>#REF!</v>
      </c>
      <c r="J7" s="188" t="str">
        <f>IFERROR(VLOOKUP(I7,NCM[],2,FALSE),"")</f>
        <v/>
      </c>
      <c r="K7" s="2"/>
      <c r="L7" s="288"/>
      <c r="M7" s="289"/>
      <c r="N7" s="289"/>
      <c r="O7" s="289"/>
      <c r="P7" s="289"/>
      <c r="Q7" s="290"/>
    </row>
    <row r="8" spans="2:17" x14ac:dyDescent="0.35">
      <c r="B8" s="53"/>
      <c r="C8" s="178" t="s">
        <v>176</v>
      </c>
      <c r="D8" s="174" t="e">
        <f>IF(Geral!#REF!="Varejo","Retail",IF(Geral!#REF!="Indústria/Importador","Manufacturer/Importer",IF(Geral!#REF!="Distribuidor","Wholesale/Distributer","Multiple")))</f>
        <v>#REF!</v>
      </c>
      <c r="E8" s="179" t="e">
        <f>IF(D8="","-",VLOOKUP(D8,Chain[],2,FALSE))</f>
        <v>#REF!</v>
      </c>
      <c r="F8" s="51"/>
      <c r="G8" s="51"/>
      <c r="H8" s="203" t="s">
        <v>177</v>
      </c>
      <c r="I8" s="201" t="e">
        <f>IF(#REF!="","N/A",IF(#REF!&lt;10,"&lt;10",IF(#REF!&lt;21,"10-20",IF(#REF!&lt;31,"20-30",IF(#REF!&lt;41,"30-40",IF(#REF!&lt;51,"40-50","&gt;50"))))))</f>
        <v>#REF!</v>
      </c>
      <c r="J8" s="188" t="str">
        <f>IFERROR(VLOOKUP(I8,Sales_NumberOfLines[],2,FALSE),"")</f>
        <v/>
      </c>
      <c r="K8" s="2"/>
      <c r="L8" s="288"/>
      <c r="M8" s="289"/>
      <c r="N8" s="289"/>
      <c r="O8" s="289"/>
      <c r="P8" s="289"/>
      <c r="Q8" s="290"/>
    </row>
    <row r="9" spans="2:17" x14ac:dyDescent="0.35">
      <c r="B9" s="53"/>
      <c r="C9" s="178" t="s">
        <v>178</v>
      </c>
      <c r="D9" s="174" t="s">
        <v>179</v>
      </c>
      <c r="E9" s="179">
        <f>IF(D9="","-",VLOOKUP(D9,Content[],2,FALSE))</f>
        <v>2</v>
      </c>
      <c r="F9" s="51"/>
      <c r="G9" s="51"/>
      <c r="H9" s="206" t="s">
        <v>180</v>
      </c>
      <c r="I9" s="201" t="e">
        <f>IF(Empresas!#REF!="","N/A",IF(Empresas!#REF!&lt;10,"&lt;10",IF(Empresas!#REF!&lt;21,"10-20",IF(Empresas!#REF!&lt;31,"20-30",IF(Empresas!#REF!&lt;41,"30-40",IF(Empresas!#REF!&lt;51,"40-50","&gt;50"))))))</f>
        <v>#REF!</v>
      </c>
      <c r="J9" s="188" t="str">
        <f>IFERROR(VLOOKUP(I9,Purchases_NumberOfLines[],2,FALSE),"")</f>
        <v/>
      </c>
      <c r="K9" s="2"/>
      <c r="L9" s="288"/>
      <c r="M9" s="289"/>
      <c r="N9" s="289"/>
      <c r="O9" s="289"/>
      <c r="P9" s="289"/>
      <c r="Q9" s="290"/>
    </row>
    <row r="10" spans="2:17" x14ac:dyDescent="0.35">
      <c r="B10" s="53"/>
      <c r="C10" s="210" t="s">
        <v>181</v>
      </c>
      <c r="D10" s="174" t="e">
        <f>IF(#REF!="Própria","Standard",IF(#REF!="Datacenter Thomson Reuters","Hosted TRTA",))</f>
        <v>#REF!</v>
      </c>
      <c r="E10" s="179" t="s">
        <v>182</v>
      </c>
      <c r="F10" s="51"/>
      <c r="G10" s="51"/>
      <c r="H10" s="203" t="s">
        <v>183</v>
      </c>
      <c r="I10" s="201" t="str">
        <f>IF('Formulas and Lists'!K33=0,"N/A",IF('Formulas and Lists'!K33=1,"1",IF('Formulas and Lists'!K33=2,"2","&gt;2")))</f>
        <v>&gt;2</v>
      </c>
      <c r="J10" s="188" t="str">
        <f>IFERROR(VLOOKUP(I10,Sales_Taxes_Wth[],2,FALSE),"")</f>
        <v>2</v>
      </c>
      <c r="K10" s="2"/>
      <c r="L10" s="288"/>
      <c r="M10" s="289"/>
      <c r="N10" s="289"/>
      <c r="O10" s="289"/>
      <c r="P10" s="289"/>
      <c r="Q10" s="290"/>
    </row>
    <row r="11" spans="2:17" x14ac:dyDescent="0.35">
      <c r="B11" s="53"/>
      <c r="C11" s="183" t="s">
        <v>184</v>
      </c>
      <c r="D11" s="174" t="e">
        <f>IF('Complexity and Scale'!F34&lt;200,6,IF('Complexity and Scale'!F34&lt;400,9,12))</f>
        <v>#REF!</v>
      </c>
      <c r="E11" s="179" t="s">
        <v>182</v>
      </c>
      <c r="F11" s="51"/>
      <c r="G11" s="51"/>
      <c r="H11" s="207" t="s">
        <v>185</v>
      </c>
      <c r="I11" s="202" t="str">
        <f>IF('Formulas and Lists'!K25=0,"N/A",IF('Formulas and Lists'!K25=1,"1",IF('Formulas and Lists'!K25=2,"2","&gt;2")))</f>
        <v>N/A</v>
      </c>
      <c r="J11" s="189" t="str">
        <f>IFERROR(VLOOKUP(I11,Purchase_Taxes_Wth[],2,FALSE),"")</f>
        <v>0</v>
      </c>
      <c r="K11" s="2"/>
      <c r="L11" s="288"/>
      <c r="M11" s="289"/>
      <c r="N11" s="289"/>
      <c r="O11" s="289"/>
      <c r="P11" s="289"/>
      <c r="Q11" s="290"/>
    </row>
    <row r="12" spans="2:17" x14ac:dyDescent="0.35">
      <c r="B12" s="53"/>
      <c r="C12" s="183" t="s">
        <v>186</v>
      </c>
      <c r="D12" s="174" t="e">
        <f>IF('Complexity and Scale'!F34&lt;200,"Standard",IF('Complexity and Scale'!F34&lt;400,"Extended","On-Site"))</f>
        <v>#REF!</v>
      </c>
      <c r="E12" s="179" t="s">
        <v>182</v>
      </c>
      <c r="F12" s="51"/>
      <c r="G12" s="51"/>
      <c r="H12" s="51"/>
      <c r="I12" s="51"/>
      <c r="J12" s="51"/>
      <c r="K12" s="2"/>
      <c r="L12" s="288"/>
      <c r="M12" s="289"/>
      <c r="N12" s="289"/>
      <c r="O12" s="289"/>
      <c r="P12" s="289"/>
      <c r="Q12" s="290"/>
    </row>
    <row r="13" spans="2:17" x14ac:dyDescent="0.35">
      <c r="B13" s="53"/>
      <c r="C13" s="183" t="s">
        <v>187</v>
      </c>
      <c r="D13" s="174" t="e">
        <f>IF('Complexity and Scale'!F34&lt;200,"Standard Hypercare",IF('Complexity and Scale'!F34&lt;400,"Extended Hypercare","On-Site Hypercare"))</f>
        <v>#REF!</v>
      </c>
      <c r="E13" s="180" t="s">
        <v>182</v>
      </c>
      <c r="F13" s="51"/>
      <c r="G13" s="51"/>
      <c r="H13" s="51"/>
      <c r="I13" s="51"/>
      <c r="J13" s="51"/>
      <c r="K13" s="2"/>
      <c r="L13" s="288"/>
      <c r="M13" s="289"/>
      <c r="N13" s="289"/>
      <c r="O13" s="289"/>
      <c r="P13" s="289"/>
      <c r="Q13" s="290"/>
    </row>
    <row r="14" spans="2:17" x14ac:dyDescent="0.35">
      <c r="B14" s="53"/>
      <c r="C14" s="178" t="s">
        <v>188</v>
      </c>
      <c r="D14" s="174" t="s">
        <v>189</v>
      </c>
      <c r="E14" s="180" t="str">
        <f>IF(D14="","-",VLOOKUP(D14,Ed[],2,FALSE))</f>
        <v>-</v>
      </c>
      <c r="F14" s="51"/>
      <c r="G14" s="51"/>
      <c r="H14" s="175" t="s">
        <v>190</v>
      </c>
      <c r="I14" s="181" t="s">
        <v>165</v>
      </c>
      <c r="J14" s="204" t="s">
        <v>166</v>
      </c>
      <c r="K14" s="2"/>
      <c r="L14" s="288"/>
      <c r="M14" s="289"/>
      <c r="N14" s="289"/>
      <c r="O14" s="289"/>
      <c r="P14" s="289"/>
      <c r="Q14" s="290"/>
    </row>
    <row r="15" spans="2:17" x14ac:dyDescent="0.35">
      <c r="B15" s="53"/>
      <c r="C15" s="215" t="s">
        <v>191</v>
      </c>
      <c r="D15" s="157" t="str">
        <f>IF(Geral!B12="Thomson Reuters","Sole Source","Partner-Led")</f>
        <v>Partner-Led</v>
      </c>
      <c r="E15" s="180" t="s">
        <v>182</v>
      </c>
      <c r="F15" s="51"/>
      <c r="G15" s="51"/>
      <c r="H15" s="205" t="s">
        <v>192</v>
      </c>
      <c r="I15" s="184" t="e">
        <f>IF(#REF!&lt;2,"N/A",IF(#REF!&lt;9,"&lt;9 States",IF(#REF!&lt;19,"9-18 States","&gt;18 States")))</f>
        <v>#REF!</v>
      </c>
      <c r="J15" s="187" t="str">
        <f>IFERROR(VLOOKUP(I15,ICMSST_Sales_ShipFromStates[],2,FALSE),"")</f>
        <v/>
      </c>
      <c r="K15" s="2"/>
      <c r="L15" s="288"/>
      <c r="M15" s="289"/>
      <c r="N15" s="289"/>
      <c r="O15" s="289"/>
      <c r="P15" s="289"/>
      <c r="Q15" s="290"/>
    </row>
    <row r="16" spans="2:17" x14ac:dyDescent="0.35">
      <c r="B16" s="53"/>
      <c r="C16" s="51"/>
      <c r="D16" s="51"/>
      <c r="E16" s="51"/>
      <c r="F16" s="51"/>
      <c r="G16" s="51"/>
      <c r="H16" s="203" t="s">
        <v>193</v>
      </c>
      <c r="I16" s="185" t="e">
        <f>IF(#REF!&lt;2,"N/A",IF(#REF!&lt;9,"&lt;9 States",IF(#REF!&lt;19,"9-18 States","&gt;18 States")))</f>
        <v>#REF!</v>
      </c>
      <c r="J16" s="188" t="str">
        <f>IFERROR(VLOOKUP(I16,ICMSST_Sales_ShipToStates[],2,FALSE),"")</f>
        <v/>
      </c>
      <c r="K16" s="2"/>
      <c r="L16" s="288"/>
      <c r="M16" s="289"/>
      <c r="N16" s="289"/>
      <c r="O16" s="289"/>
      <c r="P16" s="289"/>
      <c r="Q16" s="290"/>
    </row>
    <row r="17" spans="2:17" x14ac:dyDescent="0.35">
      <c r="B17" s="53"/>
      <c r="C17" s="51"/>
      <c r="D17" s="51"/>
      <c r="E17" s="51"/>
      <c r="F17" s="51"/>
      <c r="G17" s="51"/>
      <c r="H17" s="206" t="s">
        <v>194</v>
      </c>
      <c r="I17" s="185" t="e">
        <f>IF(#REF!&lt;2,"N/A",IF(#REF!&lt;9,"&lt;9 States",IF(#REF!&lt;19,"9-18 States","&gt;18 States")))</f>
        <v>#REF!</v>
      </c>
      <c r="J17" s="188" t="str">
        <f>IFERROR(VLOOKUP(I17,ICMSST_Purchases_ShipFromStates[],2,FALSE),"")</f>
        <v/>
      </c>
      <c r="K17" s="2"/>
      <c r="L17" s="288"/>
      <c r="M17" s="289"/>
      <c r="N17" s="289"/>
      <c r="O17" s="289"/>
      <c r="P17" s="289"/>
      <c r="Q17" s="290"/>
    </row>
    <row r="18" spans="2:17" x14ac:dyDescent="0.35">
      <c r="B18" s="53"/>
      <c r="C18" s="51"/>
      <c r="D18" s="51"/>
      <c r="E18" s="51"/>
      <c r="F18" s="51"/>
      <c r="G18" s="51"/>
      <c r="H18" s="203" t="s">
        <v>195</v>
      </c>
      <c r="I18" s="185" t="e">
        <f>IF(#REF!&lt;2,"N/A",IF(#REF!&lt;9,"&lt;9 States",IF(#REF!&lt;19,"9-18 States","&gt;18 States")))</f>
        <v>#REF!</v>
      </c>
      <c r="J18" s="188" t="str">
        <f>IFERROR(VLOOKUP(I18,ICMSST_Purchases_ShipToStates[],2,FALSE),"")</f>
        <v/>
      </c>
      <c r="K18" s="2"/>
      <c r="L18" s="288"/>
      <c r="M18" s="289"/>
      <c r="N18" s="289"/>
      <c r="O18" s="289"/>
      <c r="P18" s="289"/>
      <c r="Q18" s="290"/>
    </row>
    <row r="19" spans="2:17" x14ac:dyDescent="0.35">
      <c r="B19" s="53"/>
      <c r="C19" s="51"/>
      <c r="D19" s="51"/>
      <c r="E19" s="51"/>
      <c r="F19" s="51"/>
      <c r="G19" s="51"/>
      <c r="H19" s="206" t="s">
        <v>196</v>
      </c>
      <c r="I19" s="185" t="e">
        <f>IF(#REF!+#REF!&lt;100,"&lt;100",IF(#REF!+#REF!&lt;251,"100-250",IF(#REF!+#REF!&lt;401,"250-400",IF(#REF!+#REF!&lt;701,"400-700",IF(#REF!+#REF!&lt;1001,"700-1000","&gt;1000")))))</f>
        <v>#REF!</v>
      </c>
      <c r="J19" s="188" t="str">
        <f>IFERROR(VLOOKUP(I19,ICMSST_NCM[],2,FALSE),"")</f>
        <v/>
      </c>
      <c r="K19" s="2"/>
      <c r="L19" s="288"/>
      <c r="M19" s="289"/>
      <c r="N19" s="289"/>
      <c r="O19" s="289"/>
      <c r="P19" s="289"/>
      <c r="Q19" s="290"/>
    </row>
    <row r="20" spans="2:17" x14ac:dyDescent="0.35">
      <c r="B20" s="53"/>
      <c r="C20" s="51"/>
      <c r="D20" s="51"/>
      <c r="E20" s="51"/>
      <c r="F20" s="51"/>
      <c r="G20" s="51"/>
      <c r="H20" s="203" t="s">
        <v>197</v>
      </c>
      <c r="I20" s="185" t="e">
        <f>IF(#REF!=0,"N/A",IF(#REF!&lt;100,"&lt;100",IF(#REF!&lt;251,"100-250",IF(#REF!&lt;401,"250-400",IF(#REF!&lt;701,"400-700",IF(#REF!&lt;1001,"700-1000","&gt;1000"))))))</f>
        <v>#REF!</v>
      </c>
      <c r="J20" s="188" t="str">
        <f>IFERROR(VLOOKUP(I20,ISS_Municipalities[],2,FALSE),"")</f>
        <v/>
      </c>
      <c r="K20" s="2"/>
      <c r="L20" s="288"/>
      <c r="M20" s="289"/>
      <c r="N20" s="289"/>
      <c r="O20" s="289"/>
      <c r="P20" s="289"/>
      <c r="Q20" s="290"/>
    </row>
    <row r="21" spans="2:17" x14ac:dyDescent="0.35">
      <c r="B21" s="53"/>
      <c r="C21" s="51"/>
      <c r="D21" s="51"/>
      <c r="E21" s="51"/>
      <c r="F21" s="51"/>
      <c r="G21" s="51"/>
      <c r="H21" s="207" t="s">
        <v>198</v>
      </c>
      <c r="I21" s="186" t="e">
        <f>IF(#REF!=0,"N/A",IF(#REF!&lt;9,"&lt;9 codes",IF(#REF!&lt;19,"9-18 codes","&gt;18 codes")))</f>
        <v>#REF!</v>
      </c>
      <c r="J21" s="189" t="str">
        <f>IFERROR(VLOOKUP(I21,ISS_ServiceCodes[],2,FALSE),"")</f>
        <v/>
      </c>
      <c r="K21" s="2"/>
      <c r="L21" s="288"/>
      <c r="M21" s="289"/>
      <c r="N21" s="289"/>
      <c r="O21" s="289"/>
      <c r="P21" s="289"/>
      <c r="Q21" s="290"/>
    </row>
    <row r="22" spans="2:17" x14ac:dyDescent="0.35">
      <c r="B22" s="53"/>
      <c r="C22" s="51"/>
      <c r="D22" s="51"/>
      <c r="E22" s="51"/>
      <c r="F22" s="51"/>
      <c r="G22" s="51"/>
      <c r="H22" s="28"/>
      <c r="I22" s="28"/>
      <c r="J22" s="182"/>
      <c r="K22" s="2"/>
      <c r="L22" s="288"/>
      <c r="M22" s="289"/>
      <c r="N22" s="289"/>
      <c r="O22" s="289"/>
      <c r="P22" s="289"/>
      <c r="Q22" s="290"/>
    </row>
    <row r="23" spans="2:17" x14ac:dyDescent="0.35">
      <c r="B23" s="53"/>
      <c r="C23" s="51"/>
      <c r="D23" s="51"/>
      <c r="E23" s="51"/>
      <c r="F23" s="51"/>
      <c r="G23" s="51"/>
      <c r="H23" s="2"/>
      <c r="I23" s="152"/>
      <c r="J23" s="59"/>
      <c r="K23" s="2"/>
      <c r="L23" s="288"/>
      <c r="M23" s="289"/>
      <c r="N23" s="289"/>
      <c r="O23" s="289"/>
      <c r="P23" s="289"/>
      <c r="Q23" s="290"/>
    </row>
    <row r="24" spans="2:17" x14ac:dyDescent="0.35">
      <c r="B24" s="53"/>
      <c r="C24" s="51"/>
      <c r="D24" s="51"/>
      <c r="E24" s="51"/>
      <c r="F24" s="51"/>
      <c r="G24" s="51"/>
      <c r="H24" s="2"/>
      <c r="I24" s="152"/>
      <c r="J24" s="59"/>
      <c r="K24" s="2"/>
      <c r="L24" s="288"/>
      <c r="M24" s="289"/>
      <c r="N24" s="289"/>
      <c r="O24" s="289"/>
      <c r="P24" s="289"/>
      <c r="Q24" s="290"/>
    </row>
    <row r="25" spans="2:17" x14ac:dyDescent="0.35">
      <c r="B25" s="53"/>
      <c r="C25" s="51"/>
      <c r="D25" s="51"/>
      <c r="E25" s="51"/>
      <c r="F25" s="51"/>
      <c r="G25" s="51"/>
      <c r="H25" s="3" t="s">
        <v>199</v>
      </c>
      <c r="I25" s="58">
        <v>125</v>
      </c>
      <c r="J25" s="59"/>
      <c r="K25" s="2"/>
      <c r="L25" s="288"/>
      <c r="M25" s="289"/>
      <c r="N25" s="289"/>
      <c r="O25" s="289"/>
      <c r="P25" s="289"/>
      <c r="Q25" s="290"/>
    </row>
    <row r="26" spans="2:17" x14ac:dyDescent="0.35">
      <c r="B26" s="53"/>
      <c r="C26" s="51"/>
      <c r="D26" s="51"/>
      <c r="E26" s="51"/>
      <c r="F26" s="51"/>
      <c r="G26" s="51"/>
      <c r="H26" s="2"/>
      <c r="I26" s="2"/>
      <c r="J26" s="57"/>
      <c r="K26" s="2"/>
      <c r="L26" s="288"/>
      <c r="M26" s="289"/>
      <c r="N26" s="289"/>
      <c r="O26" s="289"/>
      <c r="P26" s="289"/>
      <c r="Q26" s="290"/>
    </row>
    <row r="27" spans="2:17" x14ac:dyDescent="0.35">
      <c r="B27" s="53"/>
      <c r="C27" s="51"/>
      <c r="D27" s="15" t="s">
        <v>200</v>
      </c>
      <c r="E27" s="51"/>
      <c r="F27" s="51"/>
      <c r="G27" s="51"/>
      <c r="H27" s="15" t="s">
        <v>201</v>
      </c>
      <c r="I27" s="2"/>
      <c r="J27" s="57"/>
      <c r="K27" s="2"/>
      <c r="L27" s="288"/>
      <c r="M27" s="289"/>
      <c r="N27" s="289"/>
      <c r="O27" s="289"/>
      <c r="P27" s="289"/>
      <c r="Q27" s="290"/>
    </row>
    <row r="28" spans="2:17" x14ac:dyDescent="0.35">
      <c r="B28" s="5"/>
      <c r="C28" s="4" t="s">
        <v>202</v>
      </c>
      <c r="D28" s="16" t="e">
        <f>IF(D40&lt;460,"Incomplete",D40)</f>
        <v>#REF!</v>
      </c>
      <c r="E28" s="51"/>
      <c r="F28" s="51"/>
      <c r="G28" s="51"/>
      <c r="H28" s="16" t="e">
        <f>IF(D28="Incomplete",D28,H40)</f>
        <v>#REF!</v>
      </c>
      <c r="I28" s="2"/>
      <c r="J28" s="57"/>
      <c r="K28" s="2"/>
      <c r="L28" s="288"/>
      <c r="M28" s="289"/>
      <c r="N28" s="289"/>
      <c r="O28" s="289"/>
      <c r="P28" s="289"/>
      <c r="Q28" s="290"/>
    </row>
    <row r="29" spans="2:17" x14ac:dyDescent="0.35">
      <c r="B29" s="6"/>
      <c r="C29" s="2"/>
      <c r="D29" s="60"/>
      <c r="E29" s="51"/>
      <c r="F29" s="51"/>
      <c r="G29" s="51"/>
      <c r="H29" s="61"/>
      <c r="I29" s="2"/>
      <c r="J29" s="57"/>
      <c r="K29" s="2"/>
      <c r="L29" s="288"/>
      <c r="M29" s="289"/>
      <c r="N29" s="289"/>
      <c r="O29" s="289"/>
      <c r="P29" s="289"/>
      <c r="Q29" s="290"/>
    </row>
    <row r="30" spans="2:17" x14ac:dyDescent="0.35">
      <c r="B30" s="62"/>
      <c r="C30" s="31" t="s">
        <v>203</v>
      </c>
      <c r="D30" s="15" t="s">
        <v>204</v>
      </c>
      <c r="E30" s="15" t="s">
        <v>205</v>
      </c>
      <c r="F30" s="51"/>
      <c r="G30" s="51"/>
      <c r="H30" s="17"/>
      <c r="I30" s="2"/>
      <c r="J30" s="57"/>
      <c r="K30" s="2"/>
      <c r="L30" s="288"/>
      <c r="M30" s="289"/>
      <c r="N30" s="289"/>
      <c r="O30" s="289"/>
      <c r="P30" s="289"/>
      <c r="Q30" s="290"/>
    </row>
    <row r="31" spans="2:17" x14ac:dyDescent="0.35">
      <c r="B31" s="63">
        <v>1</v>
      </c>
      <c r="C31" s="42" t="s">
        <v>206</v>
      </c>
      <c r="D31" s="123" t="e">
        <f>'Complexity and Scale'!F30</f>
        <v>#REF!</v>
      </c>
      <c r="E31" s="123" t="e">
        <f t="shared" ref="E31:E36" si="0">+D31</f>
        <v>#REF!</v>
      </c>
      <c r="F31" s="51"/>
      <c r="G31" s="51"/>
      <c r="H31" s="64" t="str">
        <f t="shared" ref="H31:H40" si="1">IFERROR(D31*$I$25,"-")</f>
        <v>-</v>
      </c>
      <c r="I31" s="2"/>
      <c r="J31" s="57"/>
      <c r="K31" s="2"/>
      <c r="L31" s="288"/>
      <c r="M31" s="289"/>
      <c r="N31" s="289"/>
      <c r="O31" s="289"/>
      <c r="P31" s="289"/>
      <c r="Q31" s="290"/>
    </row>
    <row r="32" spans="2:17" x14ac:dyDescent="0.35">
      <c r="B32" s="6">
        <v>2</v>
      </c>
      <c r="C32" s="65" t="s">
        <v>207</v>
      </c>
      <c r="D32" s="123" t="e">
        <f>'Complexity and Scale'!F31</f>
        <v>#REF!</v>
      </c>
      <c r="E32" s="123" t="e">
        <f t="shared" si="0"/>
        <v>#REF!</v>
      </c>
      <c r="F32" s="51"/>
      <c r="G32" s="51"/>
      <c r="H32" s="64" t="str">
        <f t="shared" si="1"/>
        <v>-</v>
      </c>
      <c r="I32" s="2"/>
      <c r="J32" s="57"/>
      <c r="K32" s="2"/>
      <c r="L32" s="288"/>
      <c r="M32" s="289"/>
      <c r="N32" s="289"/>
      <c r="O32" s="289"/>
      <c r="P32" s="289"/>
      <c r="Q32" s="290"/>
    </row>
    <row r="33" spans="2:17" x14ac:dyDescent="0.35">
      <c r="B33" s="6">
        <v>3</v>
      </c>
      <c r="C33" s="65" t="s">
        <v>208</v>
      </c>
      <c r="D33" s="123" t="str">
        <f>IFERROR('Complexity and Scale'!F32,"-")</f>
        <v>-</v>
      </c>
      <c r="E33" s="123" t="str">
        <f t="shared" si="0"/>
        <v>-</v>
      </c>
      <c r="F33" s="51"/>
      <c r="G33" s="51"/>
      <c r="H33" s="64" t="str">
        <f t="shared" si="1"/>
        <v>-</v>
      </c>
      <c r="I33" s="2"/>
      <c r="J33" s="57"/>
      <c r="K33" s="2"/>
      <c r="L33" s="288"/>
      <c r="M33" s="289"/>
      <c r="N33" s="289"/>
      <c r="O33" s="289"/>
      <c r="P33" s="289"/>
      <c r="Q33" s="290"/>
    </row>
    <row r="34" spans="2:17" x14ac:dyDescent="0.35">
      <c r="B34" s="6">
        <v>4</v>
      </c>
      <c r="C34" s="65" t="e">
        <f>IF(D10='Complexity and Scale'!L4,"ONESOURCE Software Install &amp; Setup (Standard)",(IF(D10='Complexity and Scale'!L5,"ONESOURCE Software Install &amp; Setup (Advanced)","ONESOURCE Software Install &amp; Setup (TRTA Hosted)")))</f>
        <v>#REF!</v>
      </c>
      <c r="D34" s="123" t="str">
        <f>IFERROR('Complexity and Scale'!F33,"-")</f>
        <v>-</v>
      </c>
      <c r="E34" s="123" t="str">
        <f t="shared" si="0"/>
        <v>-</v>
      </c>
      <c r="F34" s="51"/>
      <c r="G34" s="51"/>
      <c r="H34" s="64" t="str">
        <f t="shared" si="1"/>
        <v>-</v>
      </c>
      <c r="I34" s="2"/>
      <c r="J34" s="57"/>
      <c r="K34" s="2"/>
      <c r="L34" s="288"/>
      <c r="M34" s="289"/>
      <c r="N34" s="289"/>
      <c r="O34" s="289"/>
      <c r="P34" s="289"/>
      <c r="Q34" s="290"/>
    </row>
    <row r="35" spans="2:17" x14ac:dyDescent="0.35">
      <c r="B35" s="6">
        <v>5</v>
      </c>
      <c r="C35" s="65" t="s">
        <v>209</v>
      </c>
      <c r="D35" s="123" t="str">
        <f>IFERROR(IF(D15="Sole Source",'Complexity and Scale'!F34,'Complexity and Scale'!H34),"-")</f>
        <v>-</v>
      </c>
      <c r="E35" s="123" t="str">
        <f t="shared" si="0"/>
        <v>-</v>
      </c>
      <c r="F35" s="51"/>
      <c r="G35" s="51"/>
      <c r="H35" s="64" t="str">
        <f t="shared" si="1"/>
        <v>-</v>
      </c>
      <c r="I35" s="2"/>
      <c r="J35" s="57"/>
      <c r="K35" s="2"/>
      <c r="L35" s="291"/>
      <c r="M35" s="292"/>
      <c r="N35" s="292"/>
      <c r="O35" s="292"/>
      <c r="P35" s="292"/>
      <c r="Q35" s="293"/>
    </row>
    <row r="36" spans="2:17" x14ac:dyDescent="0.35">
      <c r="B36" s="6">
        <v>6</v>
      </c>
      <c r="C36" s="65" t="s">
        <v>210</v>
      </c>
      <c r="D36" s="123">
        <f>'Complexity and Scale'!F35</f>
        <v>40</v>
      </c>
      <c r="E36" s="123">
        <f t="shared" si="0"/>
        <v>40</v>
      </c>
      <c r="F36" s="51"/>
      <c r="G36" s="51"/>
      <c r="H36" s="64">
        <f t="shared" si="1"/>
        <v>5000</v>
      </c>
      <c r="I36" s="2"/>
      <c r="J36" s="57"/>
      <c r="K36" s="2"/>
      <c r="L36" s="2"/>
      <c r="M36" s="2"/>
      <c r="N36" s="2"/>
      <c r="O36" s="2"/>
      <c r="P36" s="2"/>
      <c r="Q36" s="2"/>
    </row>
    <row r="37" spans="2:17" x14ac:dyDescent="0.35">
      <c r="B37" s="6">
        <v>7</v>
      </c>
      <c r="C37" s="65" t="str">
        <f>CONCATENATE("ONESOURCE Content ","- ",D9)</f>
        <v>ONESOURCE Content - Premium +</v>
      </c>
      <c r="D37" s="123"/>
      <c r="E37" s="123" t="s">
        <v>182</v>
      </c>
      <c r="F37" s="51"/>
      <c r="G37" s="51"/>
      <c r="H37" s="64">
        <f t="shared" si="1"/>
        <v>0</v>
      </c>
      <c r="I37" s="2"/>
      <c r="J37" s="57"/>
      <c r="K37" s="2"/>
      <c r="L37" s="2"/>
      <c r="M37" s="2"/>
      <c r="N37" s="2"/>
      <c r="O37" s="2"/>
      <c r="P37" s="2"/>
      <c r="Q37" s="2"/>
    </row>
    <row r="38" spans="2:17" x14ac:dyDescent="0.35">
      <c r="B38" s="6">
        <v>8</v>
      </c>
      <c r="C38" s="65" t="s">
        <v>211</v>
      </c>
      <c r="D38" s="123" t="str">
        <f>IFERROR('Complexity and Scale'!F37,"-")</f>
        <v>-</v>
      </c>
      <c r="E38" s="123" t="str">
        <f>+D38</f>
        <v>-</v>
      </c>
      <c r="F38" s="51"/>
      <c r="G38" s="51"/>
      <c r="H38" s="64" t="str">
        <f t="shared" si="1"/>
        <v>-</v>
      </c>
      <c r="I38" s="2"/>
      <c r="J38" s="57"/>
      <c r="K38" s="2"/>
      <c r="L38" s="2"/>
      <c r="M38" s="2"/>
      <c r="N38" s="2"/>
      <c r="O38" s="2"/>
      <c r="P38" s="2"/>
      <c r="Q38" s="2"/>
    </row>
    <row r="39" spans="2:17" x14ac:dyDescent="0.35">
      <c r="B39" s="66">
        <v>9</v>
      </c>
      <c r="C39" s="67" t="s">
        <v>212</v>
      </c>
      <c r="D39" s="123" t="str">
        <f>IFERROR('Complexity and Scale'!F38,"-")</f>
        <v>-</v>
      </c>
      <c r="E39" s="123" t="str">
        <f>+D39</f>
        <v>-</v>
      </c>
      <c r="F39" s="51"/>
      <c r="G39" s="51"/>
      <c r="H39" s="64" t="str">
        <f t="shared" si="1"/>
        <v>-</v>
      </c>
      <c r="I39" s="2"/>
      <c r="J39" s="57"/>
      <c r="K39" s="2"/>
      <c r="L39" s="2"/>
      <c r="M39" s="2"/>
      <c r="N39" s="2"/>
      <c r="O39" s="2"/>
      <c r="P39" s="2"/>
      <c r="Q39" s="2"/>
    </row>
    <row r="40" spans="2:17" x14ac:dyDescent="0.35">
      <c r="B40" s="5"/>
      <c r="C40" s="29" t="s">
        <v>213</v>
      </c>
      <c r="D40" s="68" t="e">
        <f>SUM(D31:D39)</f>
        <v>#REF!</v>
      </c>
      <c r="E40" s="68" t="e">
        <f>SUM(E31:E39)</f>
        <v>#REF!</v>
      </c>
      <c r="F40" s="51"/>
      <c r="G40" s="51"/>
      <c r="H40" s="69" t="str">
        <f t="shared" si="1"/>
        <v>-</v>
      </c>
      <c r="I40" s="2"/>
      <c r="J40" s="57"/>
      <c r="K40" s="2"/>
      <c r="L40" s="2"/>
      <c r="M40" s="2"/>
      <c r="N40" s="2"/>
      <c r="O40" s="2"/>
      <c r="P40" s="2"/>
      <c r="Q40" s="2"/>
    </row>
    <row r="41" spans="2:17" x14ac:dyDescent="0.35">
      <c r="B41" s="53"/>
      <c r="C41" s="51"/>
      <c r="D41" s="51"/>
      <c r="E41" s="7"/>
      <c r="F41" s="7"/>
      <c r="G41" s="51"/>
      <c r="H41" s="2"/>
      <c r="I41" s="2"/>
      <c r="J41" s="57"/>
      <c r="K41" s="2"/>
      <c r="L41" s="2"/>
      <c r="M41" s="2"/>
      <c r="N41" s="2"/>
      <c r="O41" s="2"/>
      <c r="P41" s="2"/>
      <c r="Q41" s="2"/>
    </row>
    <row r="42" spans="2:17" x14ac:dyDescent="0.35">
      <c r="B42" s="298" t="s">
        <v>214</v>
      </c>
      <c r="C42" s="296"/>
      <c r="D42" s="296"/>
      <c r="E42" s="296"/>
      <c r="F42" s="296"/>
      <c r="G42" s="296"/>
      <c r="H42" s="296"/>
      <c r="I42" s="296"/>
      <c r="J42" s="11"/>
      <c r="K42" s="2"/>
      <c r="L42" s="2"/>
      <c r="M42" s="2"/>
      <c r="N42" s="2"/>
      <c r="O42" s="2"/>
      <c r="P42" s="2"/>
      <c r="Q42" s="2"/>
    </row>
    <row r="43" spans="2:17" x14ac:dyDescent="0.35">
      <c r="B43" s="8"/>
      <c r="C43" s="1" t="s">
        <v>215</v>
      </c>
      <c r="D43" s="296" t="s">
        <v>216</v>
      </c>
      <c r="E43" s="296"/>
      <c r="F43" s="150"/>
      <c r="G43" s="1"/>
      <c r="H43" s="12" t="s">
        <v>217</v>
      </c>
      <c r="I43" s="12"/>
      <c r="J43" s="9"/>
      <c r="K43" s="2"/>
      <c r="L43" s="2"/>
      <c r="M43" s="2"/>
      <c r="N43" s="2"/>
      <c r="O43" s="2"/>
      <c r="P43" s="2"/>
      <c r="Q43" s="2"/>
    </row>
    <row r="44" spans="2:17" x14ac:dyDescent="0.35">
      <c r="B44" s="70">
        <v>1</v>
      </c>
      <c r="C44" s="71" t="s">
        <v>218</v>
      </c>
      <c r="D44" s="297" t="e">
        <f>D40</f>
        <v>#REF!</v>
      </c>
      <c r="E44" s="297"/>
      <c r="F44" s="72"/>
      <c r="G44" s="72"/>
      <c r="H44" s="73" t="e">
        <f>+D44*125</f>
        <v>#REF!</v>
      </c>
      <c r="I44" s="74"/>
      <c r="J44" s="75"/>
      <c r="K44" s="2"/>
      <c r="L44" s="2"/>
      <c r="M44" s="2"/>
      <c r="N44" s="2"/>
      <c r="O44" s="2"/>
      <c r="P44" s="2"/>
      <c r="Q44" s="2"/>
    </row>
    <row r="45" spans="2:17" x14ac:dyDescent="0.35">
      <c r="B45" s="76">
        <v>2</v>
      </c>
      <c r="C45" s="77" t="s">
        <v>219</v>
      </c>
      <c r="D45" s="295" t="str">
        <f>IF(D14="Yes","Flat Fee","-")</f>
        <v>Flat Fee</v>
      </c>
      <c r="E45" s="295"/>
      <c r="F45" s="176"/>
      <c r="G45" s="78"/>
      <c r="H45" s="79">
        <v>6000</v>
      </c>
      <c r="I45" s="80"/>
      <c r="J45" s="75"/>
      <c r="K45" s="2"/>
      <c r="L45" s="2"/>
      <c r="M45" s="2"/>
      <c r="N45" s="2"/>
      <c r="O45" s="2"/>
      <c r="P45" s="2"/>
      <c r="Q45" s="2"/>
    </row>
    <row r="46" spans="2:17" x14ac:dyDescent="0.35">
      <c r="B46" s="76">
        <v>3</v>
      </c>
      <c r="C46" s="77" t="s">
        <v>220</v>
      </c>
      <c r="D46" s="295" t="str">
        <f>IF(D14="Yes","Flat Fee","-")</f>
        <v>Flat Fee</v>
      </c>
      <c r="E46" s="295"/>
      <c r="F46" s="81"/>
      <c r="G46" s="78"/>
      <c r="H46" s="79">
        <v>6000</v>
      </c>
      <c r="I46" s="80"/>
      <c r="J46" s="75"/>
      <c r="K46" s="2"/>
      <c r="L46" s="2"/>
      <c r="M46" s="2"/>
      <c r="N46" s="2"/>
      <c r="O46" s="2"/>
      <c r="P46" s="2"/>
      <c r="Q46" s="2"/>
    </row>
    <row r="47" spans="2:17" x14ac:dyDescent="0.35">
      <c r="B47" s="76">
        <v>4</v>
      </c>
      <c r="C47" s="77" t="str">
        <f>IF($D$9='Complexity and Scale'!$J$5,CONCATENATE('Brazil Est'!$C$37," (Initial Build)"),(IF(D9='Complexity and Scale'!J6,CONCATENATE('Brazil Est'!C37," (Content Training)"),"-")))</f>
        <v>ONESOURCE Content - Premium + (Content Training)</v>
      </c>
      <c r="D47" s="295" t="str">
        <f>IF($D$9='Complexity and Scale'!$J$4,"-","Flat Fee")</f>
        <v>Flat Fee</v>
      </c>
      <c r="E47" s="295" t="str">
        <f>IF(F9='Complexity and Scale'!T5,'Brazil Est'!E36,"-")</f>
        <v>-</v>
      </c>
      <c r="F47" s="176"/>
      <c r="G47" s="78"/>
      <c r="H47" s="79">
        <v>28800</v>
      </c>
      <c r="I47" s="80"/>
      <c r="J47" s="75"/>
      <c r="K47" s="2"/>
      <c r="L47" s="2"/>
      <c r="M47" s="2"/>
      <c r="N47" s="2"/>
      <c r="O47" s="2"/>
      <c r="P47" s="2"/>
      <c r="Q47" s="2"/>
    </row>
    <row r="48" spans="2:17" x14ac:dyDescent="0.35">
      <c r="B48" s="82">
        <v>5</v>
      </c>
      <c r="C48" s="77" t="e">
        <f>IF($D$9='Complexity and Scale'!$J$5,CONCATENATE('Brazil Est'!$C$37," (Annual Maintenance)"),(IF(D10='Complexity and Scale'!J7,CONCATENATE('Brazil Est'!C38," (Content Training)"),"-")))</f>
        <v>#REF!</v>
      </c>
      <c r="D48" s="299" t="str">
        <f>IF($D$9='Complexity and Scale'!$J$5,"Flat Fee","-")</f>
        <v>-</v>
      </c>
      <c r="E48" s="299" t="str">
        <f>IF(F10='Complexity and Scale'!T6,'Brazil Est'!E37,"-")</f>
        <v>-</v>
      </c>
      <c r="F48" s="177"/>
      <c r="G48" s="83"/>
      <c r="H48" s="84">
        <v>0</v>
      </c>
      <c r="I48" s="85"/>
      <c r="J48" s="86"/>
      <c r="K48" s="2"/>
      <c r="L48" s="2"/>
      <c r="M48" s="2"/>
      <c r="N48" s="2"/>
      <c r="O48" s="2"/>
      <c r="P48" s="2"/>
      <c r="Q48" s="2"/>
    </row>
    <row r="49" spans="2:17" ht="15" thickBot="1" x14ac:dyDescent="0.4">
      <c r="B49" s="300" t="s">
        <v>221</v>
      </c>
      <c r="C49" s="301"/>
      <c r="D49" s="301"/>
      <c r="E49" s="294"/>
      <c r="F49" s="294"/>
      <c r="G49" s="294"/>
      <c r="H49" s="13" t="e">
        <f>SUM(H44:H48)</f>
        <v>#REF!</v>
      </c>
      <c r="I49" s="13"/>
      <c r="J49" s="14"/>
      <c r="K49" s="2"/>
      <c r="L49" s="2"/>
      <c r="M49" s="2"/>
      <c r="N49" s="2"/>
      <c r="O49" s="2"/>
      <c r="P49" s="2"/>
      <c r="Q49" s="2"/>
    </row>
  </sheetData>
  <mergeCells count="12">
    <mergeCell ref="C2:I2"/>
    <mergeCell ref="L2:Q2"/>
    <mergeCell ref="L4:Q35"/>
    <mergeCell ref="E49:G49"/>
    <mergeCell ref="D45:E45"/>
    <mergeCell ref="D47:E47"/>
    <mergeCell ref="D43:E43"/>
    <mergeCell ref="D44:E44"/>
    <mergeCell ref="B42:I42"/>
    <mergeCell ref="D46:E46"/>
    <mergeCell ref="D48:E48"/>
    <mergeCell ref="B49:D49"/>
  </mergeCells>
  <conditionalFormatting sqref="D28">
    <cfRule type="cellIs" dxfId="2" priority="2" operator="equal">
      <formula>"Incomplete"</formula>
    </cfRule>
  </conditionalFormatting>
  <conditionalFormatting sqref="H28">
    <cfRule type="cellIs" dxfId="1" priority="1" operator="equal">
      <formula>"Incomplete"</formula>
    </cfRule>
  </conditionalFormatting>
  <dataValidations count="2">
    <dataValidation type="list" allowBlank="1" showInputMessage="1" showErrorMessage="1" prompt="Currently only OTC is available for Oracle R12" sqref="D7" xr:uid="{00000000-0002-0000-0800-000000000000}">
      <formula1>INDIRECT(SUBSTITUTE($D$5," ",""))</formula1>
    </dataValidation>
    <dataValidation type="list" allowBlank="1" showInputMessage="1" showErrorMessage="1" sqref="J25" xr:uid="{00000000-0002-0000-0800-000001000000}">
      <formula1>$L$25:$L$26</formula1>
    </dataValidation>
  </dataValidations>
  <pageMargins left="0.7" right="0.7" top="0.75" bottom="0.75" header="0.3" footer="0.3"/>
  <pageSetup orientation="portrait" r:id="rId1"/>
  <ignoredErrors>
    <ignoredError sqref="D10:D13 I6:I7 D5:D8 I10:I11 I15:I19 I20:I21 D15" unlockedFormula="1"/>
  </ignoredErrors>
  <extLst>
    <ext xmlns:x14="http://schemas.microsoft.com/office/spreadsheetml/2009/9/main" uri="{CCE6A557-97BC-4b89-ADB6-D9C93CAAB3DF}">
      <x14:dataValidations xmlns:xm="http://schemas.microsoft.com/office/excel/2006/main" count="25">
        <x14:dataValidation type="list" showInputMessage="1" showErrorMessage="1" xr:uid="{00000000-0002-0000-0800-000002000000}">
          <x14:formula1>
            <xm:f>'Complexity and Scale'!$B$4:$B$7</xm:f>
          </x14:formula1>
          <xm:sqref>D5</xm:sqref>
        </x14:dataValidation>
        <x14:dataValidation type="list" allowBlank="1" showInputMessage="1" showErrorMessage="1" xr:uid="{00000000-0002-0000-0800-000003000000}">
          <x14:formula1>
            <xm:f>'Complexity and Scale'!$D$4:$D$6</xm:f>
          </x14:formula1>
          <xm:sqref>D6</xm:sqref>
        </x14:dataValidation>
        <x14:dataValidation type="list" allowBlank="1" showInputMessage="1" showErrorMessage="1" xr:uid="{00000000-0002-0000-0800-000004000000}">
          <x14:formula1>
            <xm:f>'Complexity and Scale'!$H$4:$H$7</xm:f>
          </x14:formula1>
          <xm:sqref>D8</xm:sqref>
        </x14:dataValidation>
        <x14:dataValidation type="list" allowBlank="1" showInputMessage="1" showErrorMessage="1" xr:uid="{00000000-0002-0000-0800-000005000000}">
          <x14:formula1>
            <xm:f>'Complexity and Scale'!$J$4:$J$6</xm:f>
          </x14:formula1>
          <xm:sqref>D9</xm:sqref>
        </x14:dataValidation>
        <x14:dataValidation type="list" allowBlank="1" showInputMessage="1" showErrorMessage="1" xr:uid="{00000000-0002-0000-0800-000006000000}">
          <x14:formula1>
            <xm:f>'Complexity and Scale'!$B$13:$B$15</xm:f>
          </x14:formula1>
          <xm:sqref>I5</xm:sqref>
        </x14:dataValidation>
        <x14:dataValidation type="list" allowBlank="1" showInputMessage="1" showErrorMessage="1" xr:uid="{00000000-0002-0000-0800-000007000000}">
          <x14:formula1>
            <xm:f>'Complexity and Scale'!$R$4:$R$6</xm:f>
          </x14:formula1>
          <xm:sqref>D13</xm:sqref>
        </x14:dataValidation>
        <x14:dataValidation type="list" allowBlank="1" showInputMessage="1" showErrorMessage="1" xr:uid="{00000000-0002-0000-0800-000008000000}">
          <x14:formula1>
            <xm:f>'Complexity and Scale'!$L$4:$L$6</xm:f>
          </x14:formula1>
          <xm:sqref>D10</xm:sqref>
        </x14:dataValidation>
        <x14:dataValidation type="list" allowBlank="1" showInputMessage="1" showErrorMessage="1" xr:uid="{00000000-0002-0000-0800-000009000000}">
          <x14:formula1>
            <xm:f>'Complexity and Scale'!$P$4:$P$6</xm:f>
          </x14:formula1>
          <xm:sqref>D12</xm:sqref>
        </x14:dataValidation>
        <x14:dataValidation type="list" allowBlank="1" showInputMessage="1" showErrorMessage="1" xr:uid="{00000000-0002-0000-0800-00000A000000}">
          <x14:formula1>
            <xm:f>'Complexity and Scale'!$T$4:$T$5</xm:f>
          </x14:formula1>
          <xm:sqref>D14</xm:sqref>
        </x14:dataValidation>
        <x14:dataValidation type="list" allowBlank="1" showInputMessage="1" showErrorMessage="1" xr:uid="{00000000-0002-0000-0800-00000B000000}">
          <x14:formula1>
            <xm:f>'Complexity and Scale'!$V$4:$V$5</xm:f>
          </x14:formula1>
          <xm:sqref>D15</xm:sqref>
        </x14:dataValidation>
        <x14:dataValidation type="list" allowBlank="1" showInputMessage="1" showErrorMessage="1" xr:uid="{00000000-0002-0000-0800-00000C000000}">
          <x14:formula1>
            <xm:f>'Complexity and Scale'!$L$27:$L$28</xm:f>
          </x14:formula1>
          <xm:sqref>I22:I24</xm:sqref>
        </x14:dataValidation>
        <x14:dataValidation type="list" allowBlank="1" showInputMessage="1" showErrorMessage="1" xr:uid="{00000000-0002-0000-0800-00000D000000}">
          <x14:formula1>
            <xm:f>'Complexity and Scale'!$L$27:$L$29</xm:f>
          </x14:formula1>
          <xm:sqref>I25</xm:sqref>
        </x14:dataValidation>
        <x14:dataValidation type="list" allowBlank="1" showInputMessage="1" showErrorMessage="1" xr:uid="{00000000-0002-0000-0800-00000E000000}">
          <x14:formula1>
            <xm:f>'Complexity and Scale'!$D$13:$D$15</xm:f>
          </x14:formula1>
          <xm:sqref>I6</xm:sqref>
        </x14:dataValidation>
        <x14:dataValidation type="list" allowBlank="1" showInputMessage="1" showErrorMessage="1" xr:uid="{00000000-0002-0000-0800-00000F000000}">
          <x14:formula1>
            <xm:f>'Complexity and Scale'!$F$13:$F$18</xm:f>
          </x14:formula1>
          <xm:sqref>I7</xm:sqref>
        </x14:dataValidation>
        <x14:dataValidation type="list" allowBlank="1" showInputMessage="1" showErrorMessage="1" xr:uid="{00000000-0002-0000-0800-000010000000}">
          <x14:formula1>
            <xm:f>'Complexity and Scale'!$H$13:$H$19</xm:f>
          </x14:formula1>
          <xm:sqref>I8</xm:sqref>
        </x14:dataValidation>
        <x14:dataValidation type="list" allowBlank="1" showInputMessage="1" showErrorMessage="1" xr:uid="{00000000-0002-0000-0800-000011000000}">
          <x14:formula1>
            <xm:f>'Complexity and Scale'!$J$13:$J$19</xm:f>
          </x14:formula1>
          <xm:sqref>I9</xm:sqref>
        </x14:dataValidation>
        <x14:dataValidation type="list" showInputMessage="1" showErrorMessage="1" xr:uid="{00000000-0002-0000-0800-000012000000}">
          <x14:formula1>
            <xm:f>'Complexity and Scale'!$L$13:$L$16</xm:f>
          </x14:formula1>
          <xm:sqref>I11</xm:sqref>
        </x14:dataValidation>
        <x14:dataValidation type="list" allowBlank="1" showInputMessage="1" showErrorMessage="1" xr:uid="{00000000-0002-0000-0800-000013000000}">
          <x14:formula1>
            <xm:f>'Complexity and Scale'!$N$13:$N$16</xm:f>
          </x14:formula1>
          <xm:sqref>I10</xm:sqref>
        </x14:dataValidation>
        <x14:dataValidation type="list" allowBlank="1" showInputMessage="1" showErrorMessage="1" xr:uid="{00000000-0002-0000-0800-000014000000}">
          <x14:formula1>
            <xm:f>'Complexity and Scale'!$P$13:$P$16</xm:f>
          </x14:formula1>
          <xm:sqref>I15</xm:sqref>
        </x14:dataValidation>
        <x14:dataValidation type="list" allowBlank="1" showInputMessage="1" showErrorMessage="1" xr:uid="{00000000-0002-0000-0800-000015000000}">
          <x14:formula1>
            <xm:f>'Complexity and Scale'!$R$13:$R$16</xm:f>
          </x14:formula1>
          <xm:sqref>I16</xm:sqref>
        </x14:dataValidation>
        <x14:dataValidation type="list" allowBlank="1" showInputMessage="1" showErrorMessage="1" xr:uid="{00000000-0002-0000-0800-000016000000}">
          <x14:formula1>
            <xm:f>'Complexity and Scale'!$X$13:$X$18</xm:f>
          </x14:formula1>
          <xm:sqref>I19</xm:sqref>
        </x14:dataValidation>
        <x14:dataValidation type="list" allowBlank="1" showInputMessage="1" showErrorMessage="1" xr:uid="{00000000-0002-0000-0800-000017000000}">
          <x14:formula1>
            <xm:f>'Complexity and Scale'!$Z$13:$Z$19</xm:f>
          </x14:formula1>
          <xm:sqref>I20</xm:sqref>
        </x14:dataValidation>
        <x14:dataValidation type="list" allowBlank="1" showInputMessage="1" showErrorMessage="1" xr:uid="{00000000-0002-0000-0800-000018000000}">
          <x14:formula1>
            <xm:f>'Complexity and Scale'!$AB$13:$AB$16</xm:f>
          </x14:formula1>
          <xm:sqref>I21</xm:sqref>
        </x14:dataValidation>
        <x14:dataValidation type="list" allowBlank="1" showInputMessage="1" showErrorMessage="1" xr:uid="{00000000-0002-0000-0800-000019000000}">
          <x14:formula1>
            <xm:f>'Complexity and Scale'!$T$13:$T$16</xm:f>
          </x14:formula1>
          <xm:sqref>I17</xm:sqref>
        </x14:dataValidation>
        <x14:dataValidation type="list" allowBlank="1" showInputMessage="1" showErrorMessage="1" xr:uid="{00000000-0002-0000-0800-00001A000000}">
          <x14:formula1>
            <xm:f>'Complexity and Scale'!$V$13:$V$16</xm:f>
          </x14:formula1>
          <xm:sqref>I18</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3"/>
  <dimension ref="A1:AA35"/>
  <sheetViews>
    <sheetView showGridLines="0" topLeftCell="A13" workbookViewId="0">
      <selection activeCell="A29" sqref="A29:E29"/>
    </sheetView>
  </sheetViews>
  <sheetFormatPr defaultRowHeight="14.5" x14ac:dyDescent="0.35"/>
  <cols>
    <col min="1" max="1" width="17.54296875" customWidth="1"/>
    <col min="2" max="2" width="15.54296875" customWidth="1"/>
    <col min="3" max="3" width="9.54296875" customWidth="1"/>
    <col min="4" max="4" width="12.54296875" customWidth="1"/>
    <col min="5" max="5" width="18.453125" customWidth="1"/>
    <col min="6" max="9" width="9.453125"/>
    <col min="10" max="10" width="65" customWidth="1"/>
    <col min="11" max="256" width="9.453125"/>
    <col min="257" max="257" width="17.54296875" customWidth="1"/>
    <col min="258" max="258" width="15.54296875" customWidth="1"/>
    <col min="259" max="259" width="9.54296875" customWidth="1"/>
    <col min="260" max="260" width="12.54296875" customWidth="1"/>
    <col min="261" max="261" width="18.453125" customWidth="1"/>
    <col min="262" max="265" width="9.453125"/>
    <col min="266" max="266" width="65" customWidth="1"/>
    <col min="267" max="512" width="9.453125"/>
    <col min="513" max="513" width="17.54296875" customWidth="1"/>
    <col min="514" max="514" width="15.54296875" customWidth="1"/>
    <col min="515" max="515" width="9.54296875" customWidth="1"/>
    <col min="516" max="516" width="12.54296875" customWidth="1"/>
    <col min="517" max="517" width="18.453125" customWidth="1"/>
    <col min="518" max="521" width="9.453125"/>
    <col min="522" max="522" width="65" customWidth="1"/>
    <col min="523" max="768" width="9.453125"/>
    <col min="769" max="769" width="17.54296875" customWidth="1"/>
    <col min="770" max="770" width="15.54296875" customWidth="1"/>
    <col min="771" max="771" width="9.54296875" customWidth="1"/>
    <col min="772" max="772" width="12.54296875" customWidth="1"/>
    <col min="773" max="773" width="18.453125" customWidth="1"/>
    <col min="774" max="777" width="9.453125"/>
    <col min="778" max="778" width="65" customWidth="1"/>
    <col min="779" max="1024" width="9.453125"/>
    <col min="1025" max="1025" width="17.54296875" customWidth="1"/>
    <col min="1026" max="1026" width="15.54296875" customWidth="1"/>
    <col min="1027" max="1027" width="9.54296875" customWidth="1"/>
    <col min="1028" max="1028" width="12.54296875" customWidth="1"/>
    <col min="1029" max="1029" width="18.453125" customWidth="1"/>
    <col min="1030" max="1033" width="9.453125"/>
    <col min="1034" max="1034" width="65" customWidth="1"/>
    <col min="1035" max="1280" width="9.453125"/>
    <col min="1281" max="1281" width="17.54296875" customWidth="1"/>
    <col min="1282" max="1282" width="15.54296875" customWidth="1"/>
    <col min="1283" max="1283" width="9.54296875" customWidth="1"/>
    <col min="1284" max="1284" width="12.54296875" customWidth="1"/>
    <col min="1285" max="1285" width="18.453125" customWidth="1"/>
    <col min="1286" max="1289" width="9.453125"/>
    <col min="1290" max="1290" width="65" customWidth="1"/>
    <col min="1291" max="1536" width="9.453125"/>
    <col min="1537" max="1537" width="17.54296875" customWidth="1"/>
    <col min="1538" max="1538" width="15.54296875" customWidth="1"/>
    <col min="1539" max="1539" width="9.54296875" customWidth="1"/>
    <col min="1540" max="1540" width="12.54296875" customWidth="1"/>
    <col min="1541" max="1541" width="18.453125" customWidth="1"/>
    <col min="1542" max="1545" width="9.453125"/>
    <col min="1546" max="1546" width="65" customWidth="1"/>
    <col min="1547" max="1792" width="9.453125"/>
    <col min="1793" max="1793" width="17.54296875" customWidth="1"/>
    <col min="1794" max="1794" width="15.54296875" customWidth="1"/>
    <col min="1795" max="1795" width="9.54296875" customWidth="1"/>
    <col min="1796" max="1796" width="12.54296875" customWidth="1"/>
    <col min="1797" max="1797" width="18.453125" customWidth="1"/>
    <col min="1798" max="1801" width="9.453125"/>
    <col min="1802" max="1802" width="65" customWidth="1"/>
    <col min="1803" max="2048" width="9.453125"/>
    <col min="2049" max="2049" width="17.54296875" customWidth="1"/>
    <col min="2050" max="2050" width="15.54296875" customWidth="1"/>
    <col min="2051" max="2051" width="9.54296875" customWidth="1"/>
    <col min="2052" max="2052" width="12.54296875" customWidth="1"/>
    <col min="2053" max="2053" width="18.453125" customWidth="1"/>
    <col min="2054" max="2057" width="9.453125"/>
    <col min="2058" max="2058" width="65" customWidth="1"/>
    <col min="2059" max="2304" width="9.453125"/>
    <col min="2305" max="2305" width="17.54296875" customWidth="1"/>
    <col min="2306" max="2306" width="15.54296875" customWidth="1"/>
    <col min="2307" max="2307" width="9.54296875" customWidth="1"/>
    <col min="2308" max="2308" width="12.54296875" customWidth="1"/>
    <col min="2309" max="2309" width="18.453125" customWidth="1"/>
    <col min="2310" max="2313" width="9.453125"/>
    <col min="2314" max="2314" width="65" customWidth="1"/>
    <col min="2315" max="2560" width="9.453125"/>
    <col min="2561" max="2561" width="17.54296875" customWidth="1"/>
    <col min="2562" max="2562" width="15.54296875" customWidth="1"/>
    <col min="2563" max="2563" width="9.54296875" customWidth="1"/>
    <col min="2564" max="2564" width="12.54296875" customWidth="1"/>
    <col min="2565" max="2565" width="18.453125" customWidth="1"/>
    <col min="2566" max="2569" width="9.453125"/>
    <col min="2570" max="2570" width="65" customWidth="1"/>
    <col min="2571" max="2816" width="9.453125"/>
    <col min="2817" max="2817" width="17.54296875" customWidth="1"/>
    <col min="2818" max="2818" width="15.54296875" customWidth="1"/>
    <col min="2819" max="2819" width="9.54296875" customWidth="1"/>
    <col min="2820" max="2820" width="12.54296875" customWidth="1"/>
    <col min="2821" max="2821" width="18.453125" customWidth="1"/>
    <col min="2822" max="2825" width="9.453125"/>
    <col min="2826" max="2826" width="65" customWidth="1"/>
    <col min="2827" max="3072" width="9.453125"/>
    <col min="3073" max="3073" width="17.54296875" customWidth="1"/>
    <col min="3074" max="3074" width="15.54296875" customWidth="1"/>
    <col min="3075" max="3075" width="9.54296875" customWidth="1"/>
    <col min="3076" max="3076" width="12.54296875" customWidth="1"/>
    <col min="3077" max="3077" width="18.453125" customWidth="1"/>
    <col min="3078" max="3081" width="9.453125"/>
    <col min="3082" max="3082" width="65" customWidth="1"/>
    <col min="3083" max="3328" width="9.453125"/>
    <col min="3329" max="3329" width="17.54296875" customWidth="1"/>
    <col min="3330" max="3330" width="15.54296875" customWidth="1"/>
    <col min="3331" max="3331" width="9.54296875" customWidth="1"/>
    <col min="3332" max="3332" width="12.54296875" customWidth="1"/>
    <col min="3333" max="3333" width="18.453125" customWidth="1"/>
    <col min="3334" max="3337" width="9.453125"/>
    <col min="3338" max="3338" width="65" customWidth="1"/>
    <col min="3339" max="3584" width="9.453125"/>
    <col min="3585" max="3585" width="17.54296875" customWidth="1"/>
    <col min="3586" max="3586" width="15.54296875" customWidth="1"/>
    <col min="3587" max="3587" width="9.54296875" customWidth="1"/>
    <col min="3588" max="3588" width="12.54296875" customWidth="1"/>
    <col min="3589" max="3589" width="18.453125" customWidth="1"/>
    <col min="3590" max="3593" width="9.453125"/>
    <col min="3594" max="3594" width="65" customWidth="1"/>
    <col min="3595" max="3840" width="9.453125"/>
    <col min="3841" max="3841" width="17.54296875" customWidth="1"/>
    <col min="3842" max="3842" width="15.54296875" customWidth="1"/>
    <col min="3843" max="3843" width="9.54296875" customWidth="1"/>
    <col min="3844" max="3844" width="12.54296875" customWidth="1"/>
    <col min="3845" max="3845" width="18.453125" customWidth="1"/>
    <col min="3846" max="3849" width="9.453125"/>
    <col min="3850" max="3850" width="65" customWidth="1"/>
    <col min="3851" max="4096" width="9.453125"/>
    <col min="4097" max="4097" width="17.54296875" customWidth="1"/>
    <col min="4098" max="4098" width="15.54296875" customWidth="1"/>
    <col min="4099" max="4099" width="9.54296875" customWidth="1"/>
    <col min="4100" max="4100" width="12.54296875" customWidth="1"/>
    <col min="4101" max="4101" width="18.453125" customWidth="1"/>
    <col min="4102" max="4105" width="9.453125"/>
    <col min="4106" max="4106" width="65" customWidth="1"/>
    <col min="4107" max="4352" width="9.453125"/>
    <col min="4353" max="4353" width="17.54296875" customWidth="1"/>
    <col min="4354" max="4354" width="15.54296875" customWidth="1"/>
    <col min="4355" max="4355" width="9.54296875" customWidth="1"/>
    <col min="4356" max="4356" width="12.54296875" customWidth="1"/>
    <col min="4357" max="4357" width="18.453125" customWidth="1"/>
    <col min="4358" max="4361" width="9.453125"/>
    <col min="4362" max="4362" width="65" customWidth="1"/>
    <col min="4363" max="4608" width="9.453125"/>
    <col min="4609" max="4609" width="17.54296875" customWidth="1"/>
    <col min="4610" max="4610" width="15.54296875" customWidth="1"/>
    <col min="4611" max="4611" width="9.54296875" customWidth="1"/>
    <col min="4612" max="4612" width="12.54296875" customWidth="1"/>
    <col min="4613" max="4613" width="18.453125" customWidth="1"/>
    <col min="4614" max="4617" width="9.453125"/>
    <col min="4618" max="4618" width="65" customWidth="1"/>
    <col min="4619" max="4864" width="9.453125"/>
    <col min="4865" max="4865" width="17.54296875" customWidth="1"/>
    <col min="4866" max="4866" width="15.54296875" customWidth="1"/>
    <col min="4867" max="4867" width="9.54296875" customWidth="1"/>
    <col min="4868" max="4868" width="12.54296875" customWidth="1"/>
    <col min="4869" max="4869" width="18.453125" customWidth="1"/>
    <col min="4870" max="4873" width="9.453125"/>
    <col min="4874" max="4874" width="65" customWidth="1"/>
    <col min="4875" max="5120" width="9.453125"/>
    <col min="5121" max="5121" width="17.54296875" customWidth="1"/>
    <col min="5122" max="5122" width="15.54296875" customWidth="1"/>
    <col min="5123" max="5123" width="9.54296875" customWidth="1"/>
    <col min="5124" max="5124" width="12.54296875" customWidth="1"/>
    <col min="5125" max="5125" width="18.453125" customWidth="1"/>
    <col min="5126" max="5129" width="9.453125"/>
    <col min="5130" max="5130" width="65" customWidth="1"/>
    <col min="5131" max="5376" width="9.453125"/>
    <col min="5377" max="5377" width="17.54296875" customWidth="1"/>
    <col min="5378" max="5378" width="15.54296875" customWidth="1"/>
    <col min="5379" max="5379" width="9.54296875" customWidth="1"/>
    <col min="5380" max="5380" width="12.54296875" customWidth="1"/>
    <col min="5381" max="5381" width="18.453125" customWidth="1"/>
    <col min="5382" max="5385" width="9.453125"/>
    <col min="5386" max="5386" width="65" customWidth="1"/>
    <col min="5387" max="5632" width="9.453125"/>
    <col min="5633" max="5633" width="17.54296875" customWidth="1"/>
    <col min="5634" max="5634" width="15.54296875" customWidth="1"/>
    <col min="5635" max="5635" width="9.54296875" customWidth="1"/>
    <col min="5636" max="5636" width="12.54296875" customWidth="1"/>
    <col min="5637" max="5637" width="18.453125" customWidth="1"/>
    <col min="5638" max="5641" width="9.453125"/>
    <col min="5642" max="5642" width="65" customWidth="1"/>
    <col min="5643" max="5888" width="9.453125"/>
    <col min="5889" max="5889" width="17.54296875" customWidth="1"/>
    <col min="5890" max="5890" width="15.54296875" customWidth="1"/>
    <col min="5891" max="5891" width="9.54296875" customWidth="1"/>
    <col min="5892" max="5892" width="12.54296875" customWidth="1"/>
    <col min="5893" max="5893" width="18.453125" customWidth="1"/>
    <col min="5894" max="5897" width="9.453125"/>
    <col min="5898" max="5898" width="65" customWidth="1"/>
    <col min="5899" max="6144" width="9.453125"/>
    <col min="6145" max="6145" width="17.54296875" customWidth="1"/>
    <col min="6146" max="6146" width="15.54296875" customWidth="1"/>
    <col min="6147" max="6147" width="9.54296875" customWidth="1"/>
    <col min="6148" max="6148" width="12.54296875" customWidth="1"/>
    <col min="6149" max="6149" width="18.453125" customWidth="1"/>
    <col min="6150" max="6153" width="9.453125"/>
    <col min="6154" max="6154" width="65" customWidth="1"/>
    <col min="6155" max="6400" width="9.453125"/>
    <col min="6401" max="6401" width="17.54296875" customWidth="1"/>
    <col min="6402" max="6402" width="15.54296875" customWidth="1"/>
    <col min="6403" max="6403" width="9.54296875" customWidth="1"/>
    <col min="6404" max="6404" width="12.54296875" customWidth="1"/>
    <col min="6405" max="6405" width="18.453125" customWidth="1"/>
    <col min="6406" max="6409" width="9.453125"/>
    <col min="6410" max="6410" width="65" customWidth="1"/>
    <col min="6411" max="6656" width="9.453125"/>
    <col min="6657" max="6657" width="17.54296875" customWidth="1"/>
    <col min="6658" max="6658" width="15.54296875" customWidth="1"/>
    <col min="6659" max="6659" width="9.54296875" customWidth="1"/>
    <col min="6660" max="6660" width="12.54296875" customWidth="1"/>
    <col min="6661" max="6661" width="18.453125" customWidth="1"/>
    <col min="6662" max="6665" width="9.453125"/>
    <col min="6666" max="6666" width="65" customWidth="1"/>
    <col min="6667" max="6912" width="9.453125"/>
    <col min="6913" max="6913" width="17.54296875" customWidth="1"/>
    <col min="6914" max="6914" width="15.54296875" customWidth="1"/>
    <col min="6915" max="6915" width="9.54296875" customWidth="1"/>
    <col min="6916" max="6916" width="12.54296875" customWidth="1"/>
    <col min="6917" max="6917" width="18.453125" customWidth="1"/>
    <col min="6918" max="6921" width="9.453125"/>
    <col min="6922" max="6922" width="65" customWidth="1"/>
    <col min="6923" max="7168" width="9.453125"/>
    <col min="7169" max="7169" width="17.54296875" customWidth="1"/>
    <col min="7170" max="7170" width="15.54296875" customWidth="1"/>
    <col min="7171" max="7171" width="9.54296875" customWidth="1"/>
    <col min="7172" max="7172" width="12.54296875" customWidth="1"/>
    <col min="7173" max="7173" width="18.453125" customWidth="1"/>
    <col min="7174" max="7177" width="9.453125"/>
    <col min="7178" max="7178" width="65" customWidth="1"/>
    <col min="7179" max="7424" width="9.453125"/>
    <col min="7425" max="7425" width="17.54296875" customWidth="1"/>
    <col min="7426" max="7426" width="15.54296875" customWidth="1"/>
    <col min="7427" max="7427" width="9.54296875" customWidth="1"/>
    <col min="7428" max="7428" width="12.54296875" customWidth="1"/>
    <col min="7429" max="7429" width="18.453125" customWidth="1"/>
    <col min="7430" max="7433" width="9.453125"/>
    <col min="7434" max="7434" width="65" customWidth="1"/>
    <col min="7435" max="7680" width="9.453125"/>
    <col min="7681" max="7681" width="17.54296875" customWidth="1"/>
    <col min="7682" max="7682" width="15.54296875" customWidth="1"/>
    <col min="7683" max="7683" width="9.54296875" customWidth="1"/>
    <col min="7684" max="7684" width="12.54296875" customWidth="1"/>
    <col min="7685" max="7685" width="18.453125" customWidth="1"/>
    <col min="7686" max="7689" width="9.453125"/>
    <col min="7690" max="7690" width="65" customWidth="1"/>
    <col min="7691" max="7936" width="9.453125"/>
    <col min="7937" max="7937" width="17.54296875" customWidth="1"/>
    <col min="7938" max="7938" width="15.54296875" customWidth="1"/>
    <col min="7939" max="7939" width="9.54296875" customWidth="1"/>
    <col min="7940" max="7940" width="12.54296875" customWidth="1"/>
    <col min="7941" max="7941" width="18.453125" customWidth="1"/>
    <col min="7942" max="7945" width="9.453125"/>
    <col min="7946" max="7946" width="65" customWidth="1"/>
    <col min="7947" max="8192" width="9.453125"/>
    <col min="8193" max="8193" width="17.54296875" customWidth="1"/>
    <col min="8194" max="8194" width="15.54296875" customWidth="1"/>
    <col min="8195" max="8195" width="9.54296875" customWidth="1"/>
    <col min="8196" max="8196" width="12.54296875" customWidth="1"/>
    <col min="8197" max="8197" width="18.453125" customWidth="1"/>
    <col min="8198" max="8201" width="9.453125"/>
    <col min="8202" max="8202" width="65" customWidth="1"/>
    <col min="8203" max="8448" width="9.453125"/>
    <col min="8449" max="8449" width="17.54296875" customWidth="1"/>
    <col min="8450" max="8450" width="15.54296875" customWidth="1"/>
    <col min="8451" max="8451" width="9.54296875" customWidth="1"/>
    <col min="8452" max="8452" width="12.54296875" customWidth="1"/>
    <col min="8453" max="8453" width="18.453125" customWidth="1"/>
    <col min="8454" max="8457" width="9.453125"/>
    <col min="8458" max="8458" width="65" customWidth="1"/>
    <col min="8459" max="8704" width="9.453125"/>
    <col min="8705" max="8705" width="17.54296875" customWidth="1"/>
    <col min="8706" max="8706" width="15.54296875" customWidth="1"/>
    <col min="8707" max="8707" width="9.54296875" customWidth="1"/>
    <col min="8708" max="8708" width="12.54296875" customWidth="1"/>
    <col min="8709" max="8709" width="18.453125" customWidth="1"/>
    <col min="8710" max="8713" width="9.453125"/>
    <col min="8714" max="8714" width="65" customWidth="1"/>
    <col min="8715" max="8960" width="9.453125"/>
    <col min="8961" max="8961" width="17.54296875" customWidth="1"/>
    <col min="8962" max="8962" width="15.54296875" customWidth="1"/>
    <col min="8963" max="8963" width="9.54296875" customWidth="1"/>
    <col min="8964" max="8964" width="12.54296875" customWidth="1"/>
    <col min="8965" max="8965" width="18.453125" customWidth="1"/>
    <col min="8966" max="8969" width="9.453125"/>
    <col min="8970" max="8970" width="65" customWidth="1"/>
    <col min="8971" max="9216" width="9.453125"/>
    <col min="9217" max="9217" width="17.54296875" customWidth="1"/>
    <col min="9218" max="9218" width="15.54296875" customWidth="1"/>
    <col min="9219" max="9219" width="9.54296875" customWidth="1"/>
    <col min="9220" max="9220" width="12.54296875" customWidth="1"/>
    <col min="9221" max="9221" width="18.453125" customWidth="1"/>
    <col min="9222" max="9225" width="9.453125"/>
    <col min="9226" max="9226" width="65" customWidth="1"/>
    <col min="9227" max="9472" width="9.453125"/>
    <col min="9473" max="9473" width="17.54296875" customWidth="1"/>
    <col min="9474" max="9474" width="15.54296875" customWidth="1"/>
    <col min="9475" max="9475" width="9.54296875" customWidth="1"/>
    <col min="9476" max="9476" width="12.54296875" customWidth="1"/>
    <col min="9477" max="9477" width="18.453125" customWidth="1"/>
    <col min="9478" max="9481" width="9.453125"/>
    <col min="9482" max="9482" width="65" customWidth="1"/>
    <col min="9483" max="9728" width="9.453125"/>
    <col min="9729" max="9729" width="17.54296875" customWidth="1"/>
    <col min="9730" max="9730" width="15.54296875" customWidth="1"/>
    <col min="9731" max="9731" width="9.54296875" customWidth="1"/>
    <col min="9732" max="9732" width="12.54296875" customWidth="1"/>
    <col min="9733" max="9733" width="18.453125" customWidth="1"/>
    <col min="9734" max="9737" width="9.453125"/>
    <col min="9738" max="9738" width="65" customWidth="1"/>
    <col min="9739" max="9984" width="9.453125"/>
    <col min="9985" max="9985" width="17.54296875" customWidth="1"/>
    <col min="9986" max="9986" width="15.54296875" customWidth="1"/>
    <col min="9987" max="9987" width="9.54296875" customWidth="1"/>
    <col min="9988" max="9988" width="12.54296875" customWidth="1"/>
    <col min="9989" max="9989" width="18.453125" customWidth="1"/>
    <col min="9990" max="9993" width="9.453125"/>
    <col min="9994" max="9994" width="65" customWidth="1"/>
    <col min="9995" max="10240" width="9.453125"/>
    <col min="10241" max="10241" width="17.54296875" customWidth="1"/>
    <col min="10242" max="10242" width="15.54296875" customWidth="1"/>
    <col min="10243" max="10243" width="9.54296875" customWidth="1"/>
    <col min="10244" max="10244" width="12.54296875" customWidth="1"/>
    <col min="10245" max="10245" width="18.453125" customWidth="1"/>
    <col min="10246" max="10249" width="9.453125"/>
    <col min="10250" max="10250" width="65" customWidth="1"/>
    <col min="10251" max="10496" width="9.453125"/>
    <col min="10497" max="10497" width="17.54296875" customWidth="1"/>
    <col min="10498" max="10498" width="15.54296875" customWidth="1"/>
    <col min="10499" max="10499" width="9.54296875" customWidth="1"/>
    <col min="10500" max="10500" width="12.54296875" customWidth="1"/>
    <col min="10501" max="10501" width="18.453125" customWidth="1"/>
    <col min="10502" max="10505" width="9.453125"/>
    <col min="10506" max="10506" width="65" customWidth="1"/>
    <col min="10507" max="10752" width="9.453125"/>
    <col min="10753" max="10753" width="17.54296875" customWidth="1"/>
    <col min="10754" max="10754" width="15.54296875" customWidth="1"/>
    <col min="10755" max="10755" width="9.54296875" customWidth="1"/>
    <col min="10756" max="10756" width="12.54296875" customWidth="1"/>
    <col min="10757" max="10757" width="18.453125" customWidth="1"/>
    <col min="10758" max="10761" width="9.453125"/>
    <col min="10762" max="10762" width="65" customWidth="1"/>
    <col min="10763" max="11008" width="9.453125"/>
    <col min="11009" max="11009" width="17.54296875" customWidth="1"/>
    <col min="11010" max="11010" width="15.54296875" customWidth="1"/>
    <col min="11011" max="11011" width="9.54296875" customWidth="1"/>
    <col min="11012" max="11012" width="12.54296875" customWidth="1"/>
    <col min="11013" max="11013" width="18.453125" customWidth="1"/>
    <col min="11014" max="11017" width="9.453125"/>
    <col min="11018" max="11018" width="65" customWidth="1"/>
    <col min="11019" max="11264" width="9.453125"/>
    <col min="11265" max="11265" width="17.54296875" customWidth="1"/>
    <col min="11266" max="11266" width="15.54296875" customWidth="1"/>
    <col min="11267" max="11267" width="9.54296875" customWidth="1"/>
    <col min="11268" max="11268" width="12.54296875" customWidth="1"/>
    <col min="11269" max="11269" width="18.453125" customWidth="1"/>
    <col min="11270" max="11273" width="9.453125"/>
    <col min="11274" max="11274" width="65" customWidth="1"/>
    <col min="11275" max="11520" width="9.453125"/>
    <col min="11521" max="11521" width="17.54296875" customWidth="1"/>
    <col min="11522" max="11522" width="15.54296875" customWidth="1"/>
    <col min="11523" max="11523" width="9.54296875" customWidth="1"/>
    <col min="11524" max="11524" width="12.54296875" customWidth="1"/>
    <col min="11525" max="11525" width="18.453125" customWidth="1"/>
    <col min="11526" max="11529" width="9.453125"/>
    <col min="11530" max="11530" width="65" customWidth="1"/>
    <col min="11531" max="11776" width="9.453125"/>
    <col min="11777" max="11777" width="17.54296875" customWidth="1"/>
    <col min="11778" max="11778" width="15.54296875" customWidth="1"/>
    <col min="11779" max="11779" width="9.54296875" customWidth="1"/>
    <col min="11780" max="11780" width="12.54296875" customWidth="1"/>
    <col min="11781" max="11781" width="18.453125" customWidth="1"/>
    <col min="11782" max="11785" width="9.453125"/>
    <col min="11786" max="11786" width="65" customWidth="1"/>
    <col min="11787" max="12032" width="9.453125"/>
    <col min="12033" max="12033" width="17.54296875" customWidth="1"/>
    <col min="12034" max="12034" width="15.54296875" customWidth="1"/>
    <col min="12035" max="12035" width="9.54296875" customWidth="1"/>
    <col min="12036" max="12036" width="12.54296875" customWidth="1"/>
    <col min="12037" max="12037" width="18.453125" customWidth="1"/>
    <col min="12038" max="12041" width="9.453125"/>
    <col min="12042" max="12042" width="65" customWidth="1"/>
    <col min="12043" max="12288" width="9.453125"/>
    <col min="12289" max="12289" width="17.54296875" customWidth="1"/>
    <col min="12290" max="12290" width="15.54296875" customWidth="1"/>
    <col min="12291" max="12291" width="9.54296875" customWidth="1"/>
    <col min="12292" max="12292" width="12.54296875" customWidth="1"/>
    <col min="12293" max="12293" width="18.453125" customWidth="1"/>
    <col min="12294" max="12297" width="9.453125"/>
    <col min="12298" max="12298" width="65" customWidth="1"/>
    <col min="12299" max="12544" width="9.453125"/>
    <col min="12545" max="12545" width="17.54296875" customWidth="1"/>
    <col min="12546" max="12546" width="15.54296875" customWidth="1"/>
    <col min="12547" max="12547" width="9.54296875" customWidth="1"/>
    <col min="12548" max="12548" width="12.54296875" customWidth="1"/>
    <col min="12549" max="12549" width="18.453125" customWidth="1"/>
    <col min="12550" max="12553" width="9.453125"/>
    <col min="12554" max="12554" width="65" customWidth="1"/>
    <col min="12555" max="12800" width="9.453125"/>
    <col min="12801" max="12801" width="17.54296875" customWidth="1"/>
    <col min="12802" max="12802" width="15.54296875" customWidth="1"/>
    <col min="12803" max="12803" width="9.54296875" customWidth="1"/>
    <col min="12804" max="12804" width="12.54296875" customWidth="1"/>
    <col min="12805" max="12805" width="18.453125" customWidth="1"/>
    <col min="12806" max="12809" width="9.453125"/>
    <col min="12810" max="12810" width="65" customWidth="1"/>
    <col min="12811" max="13056" width="9.453125"/>
    <col min="13057" max="13057" width="17.54296875" customWidth="1"/>
    <col min="13058" max="13058" width="15.54296875" customWidth="1"/>
    <col min="13059" max="13059" width="9.54296875" customWidth="1"/>
    <col min="13060" max="13060" width="12.54296875" customWidth="1"/>
    <col min="13061" max="13061" width="18.453125" customWidth="1"/>
    <col min="13062" max="13065" width="9.453125"/>
    <col min="13066" max="13066" width="65" customWidth="1"/>
    <col min="13067" max="13312" width="9.453125"/>
    <col min="13313" max="13313" width="17.54296875" customWidth="1"/>
    <col min="13314" max="13314" width="15.54296875" customWidth="1"/>
    <col min="13315" max="13315" width="9.54296875" customWidth="1"/>
    <col min="13316" max="13316" width="12.54296875" customWidth="1"/>
    <col min="13317" max="13317" width="18.453125" customWidth="1"/>
    <col min="13318" max="13321" width="9.453125"/>
    <col min="13322" max="13322" width="65" customWidth="1"/>
    <col min="13323" max="13568" width="9.453125"/>
    <col min="13569" max="13569" width="17.54296875" customWidth="1"/>
    <col min="13570" max="13570" width="15.54296875" customWidth="1"/>
    <col min="13571" max="13571" width="9.54296875" customWidth="1"/>
    <col min="13572" max="13572" width="12.54296875" customWidth="1"/>
    <col min="13573" max="13573" width="18.453125" customWidth="1"/>
    <col min="13574" max="13577" width="9.453125"/>
    <col min="13578" max="13578" width="65" customWidth="1"/>
    <col min="13579" max="13824" width="9.453125"/>
    <col min="13825" max="13825" width="17.54296875" customWidth="1"/>
    <col min="13826" max="13826" width="15.54296875" customWidth="1"/>
    <col min="13827" max="13827" width="9.54296875" customWidth="1"/>
    <col min="13828" max="13828" width="12.54296875" customWidth="1"/>
    <col min="13829" max="13829" width="18.453125" customWidth="1"/>
    <col min="13830" max="13833" width="9.453125"/>
    <col min="13834" max="13834" width="65" customWidth="1"/>
    <col min="13835" max="14080" width="9.453125"/>
    <col min="14081" max="14081" width="17.54296875" customWidth="1"/>
    <col min="14082" max="14082" width="15.54296875" customWidth="1"/>
    <col min="14083" max="14083" width="9.54296875" customWidth="1"/>
    <col min="14084" max="14084" width="12.54296875" customWidth="1"/>
    <col min="14085" max="14085" width="18.453125" customWidth="1"/>
    <col min="14086" max="14089" width="9.453125"/>
    <col min="14090" max="14090" width="65" customWidth="1"/>
    <col min="14091" max="14336" width="9.453125"/>
    <col min="14337" max="14337" width="17.54296875" customWidth="1"/>
    <col min="14338" max="14338" width="15.54296875" customWidth="1"/>
    <col min="14339" max="14339" width="9.54296875" customWidth="1"/>
    <col min="14340" max="14340" width="12.54296875" customWidth="1"/>
    <col min="14341" max="14341" width="18.453125" customWidth="1"/>
    <col min="14342" max="14345" width="9.453125"/>
    <col min="14346" max="14346" width="65" customWidth="1"/>
    <col min="14347" max="14592" width="9.453125"/>
    <col min="14593" max="14593" width="17.54296875" customWidth="1"/>
    <col min="14594" max="14594" width="15.54296875" customWidth="1"/>
    <col min="14595" max="14595" width="9.54296875" customWidth="1"/>
    <col min="14596" max="14596" width="12.54296875" customWidth="1"/>
    <col min="14597" max="14597" width="18.453125" customWidth="1"/>
    <col min="14598" max="14601" width="9.453125"/>
    <col min="14602" max="14602" width="65" customWidth="1"/>
    <col min="14603" max="14848" width="9.453125"/>
    <col min="14849" max="14849" width="17.54296875" customWidth="1"/>
    <col min="14850" max="14850" width="15.54296875" customWidth="1"/>
    <col min="14851" max="14851" width="9.54296875" customWidth="1"/>
    <col min="14852" max="14852" width="12.54296875" customWidth="1"/>
    <col min="14853" max="14853" width="18.453125" customWidth="1"/>
    <col min="14854" max="14857" width="9.453125"/>
    <col min="14858" max="14858" width="65" customWidth="1"/>
    <col min="14859" max="15104" width="9.453125"/>
    <col min="15105" max="15105" width="17.54296875" customWidth="1"/>
    <col min="15106" max="15106" width="15.54296875" customWidth="1"/>
    <col min="15107" max="15107" width="9.54296875" customWidth="1"/>
    <col min="15108" max="15108" width="12.54296875" customWidth="1"/>
    <col min="15109" max="15109" width="18.453125" customWidth="1"/>
    <col min="15110" max="15113" width="9.453125"/>
    <col min="15114" max="15114" width="65" customWidth="1"/>
    <col min="15115" max="15360" width="9.453125"/>
    <col min="15361" max="15361" width="17.54296875" customWidth="1"/>
    <col min="15362" max="15362" width="15.54296875" customWidth="1"/>
    <col min="15363" max="15363" width="9.54296875" customWidth="1"/>
    <col min="15364" max="15364" width="12.54296875" customWidth="1"/>
    <col min="15365" max="15365" width="18.453125" customWidth="1"/>
    <col min="15366" max="15369" width="9.453125"/>
    <col min="15370" max="15370" width="65" customWidth="1"/>
    <col min="15371" max="15616" width="9.453125"/>
    <col min="15617" max="15617" width="17.54296875" customWidth="1"/>
    <col min="15618" max="15618" width="15.54296875" customWidth="1"/>
    <col min="15619" max="15619" width="9.54296875" customWidth="1"/>
    <col min="15620" max="15620" width="12.54296875" customWidth="1"/>
    <col min="15621" max="15621" width="18.453125" customWidth="1"/>
    <col min="15622" max="15625" width="9.453125"/>
    <col min="15626" max="15626" width="65" customWidth="1"/>
    <col min="15627" max="15872" width="9.453125"/>
    <col min="15873" max="15873" width="17.54296875" customWidth="1"/>
    <col min="15874" max="15874" width="15.54296875" customWidth="1"/>
    <col min="15875" max="15875" width="9.54296875" customWidth="1"/>
    <col min="15876" max="15876" width="12.54296875" customWidth="1"/>
    <col min="15877" max="15877" width="18.453125" customWidth="1"/>
    <col min="15878" max="15881" width="9.453125"/>
    <col min="15882" max="15882" width="65" customWidth="1"/>
    <col min="15883" max="16128" width="9.453125"/>
    <col min="16129" max="16129" width="17.54296875" customWidth="1"/>
    <col min="16130" max="16130" width="15.54296875" customWidth="1"/>
    <col min="16131" max="16131" width="9.54296875" customWidth="1"/>
    <col min="16132" max="16132" width="12.54296875" customWidth="1"/>
    <col min="16133" max="16133" width="18.453125" customWidth="1"/>
    <col min="16134" max="16137" width="9.453125"/>
    <col min="16138" max="16138" width="65" customWidth="1"/>
    <col min="16139" max="16384" width="9.453125"/>
  </cols>
  <sheetData>
    <row r="1" spans="1:27" s="190" customFormat="1" ht="69.75" customHeight="1" x14ac:dyDescent="0.35">
      <c r="A1" s="312"/>
      <c r="B1" s="312"/>
      <c r="C1" s="312"/>
      <c r="D1" s="312"/>
      <c r="E1" s="312"/>
      <c r="F1" s="312"/>
      <c r="G1" s="312"/>
      <c r="H1" s="312"/>
      <c r="I1" s="312"/>
      <c r="J1" s="312"/>
    </row>
    <row r="2" spans="1:27" s="190" customFormat="1" ht="16.5" customHeight="1" x14ac:dyDescent="0.35">
      <c r="A2" s="311" t="s">
        <v>222</v>
      </c>
      <c r="B2" s="311"/>
      <c r="C2" s="311"/>
      <c r="D2" s="311"/>
      <c r="E2" s="311"/>
      <c r="F2" s="311" t="s">
        <v>223</v>
      </c>
      <c r="G2" s="311"/>
      <c r="H2" s="311"/>
      <c r="I2" s="311"/>
      <c r="J2" s="311"/>
    </row>
    <row r="3" spans="1:27" s="190" customFormat="1" ht="16.5" customHeight="1" x14ac:dyDescent="0.35">
      <c r="A3" s="313"/>
      <c r="B3" s="313"/>
      <c r="C3" s="313"/>
      <c r="D3" s="313"/>
      <c r="E3" s="313"/>
      <c r="F3" s="313"/>
      <c r="G3" s="313"/>
      <c r="H3" s="313"/>
      <c r="I3" s="313"/>
      <c r="J3" s="313"/>
    </row>
    <row r="4" spans="1:27" ht="15.5" x14ac:dyDescent="0.35">
      <c r="A4" s="314" t="s">
        <v>224</v>
      </c>
      <c r="B4" s="314"/>
      <c r="C4" s="314"/>
      <c r="D4" s="314"/>
      <c r="E4" s="314"/>
      <c r="F4" s="191"/>
      <c r="G4" s="191"/>
      <c r="H4" s="191"/>
      <c r="I4" s="191"/>
      <c r="J4" s="191"/>
    </row>
    <row r="5" spans="1:27" ht="30" customHeight="1" x14ac:dyDescent="0.35">
      <c r="A5" s="302" t="s">
        <v>225</v>
      </c>
      <c r="B5" s="302"/>
      <c r="C5" s="302"/>
      <c r="D5" s="302"/>
      <c r="E5" s="302"/>
      <c r="F5" s="302">
        <v>999</v>
      </c>
      <c r="G5" s="302"/>
      <c r="H5" s="302"/>
      <c r="I5" s="302"/>
      <c r="J5" s="302"/>
    </row>
    <row r="6" spans="1:27" ht="30" customHeight="1" x14ac:dyDescent="0.35">
      <c r="A6" s="302" t="s">
        <v>226</v>
      </c>
      <c r="B6" s="302"/>
      <c r="C6" s="302"/>
      <c r="D6" s="302"/>
      <c r="E6" s="302"/>
      <c r="F6" s="302">
        <v>27</v>
      </c>
      <c r="G6" s="302"/>
      <c r="H6" s="302"/>
      <c r="I6" s="302"/>
      <c r="J6" s="302"/>
    </row>
    <row r="7" spans="1:27" x14ac:dyDescent="0.35">
      <c r="A7" s="192"/>
      <c r="B7" s="192"/>
      <c r="C7" s="192"/>
      <c r="D7" s="192"/>
      <c r="E7" s="192"/>
      <c r="F7" s="192"/>
      <c r="G7" s="192"/>
      <c r="H7" s="192"/>
      <c r="I7" s="192"/>
      <c r="J7" s="192"/>
    </row>
    <row r="8" spans="1:27" x14ac:dyDescent="0.35">
      <c r="A8" s="192"/>
      <c r="B8" s="192"/>
      <c r="C8" s="192"/>
      <c r="D8" s="192"/>
      <c r="E8" s="192"/>
      <c r="F8" s="192"/>
      <c r="G8" s="192"/>
      <c r="H8" s="192"/>
      <c r="I8" s="192"/>
      <c r="J8" s="192"/>
    </row>
    <row r="9" spans="1:27" x14ac:dyDescent="0.35">
      <c r="A9" s="192"/>
      <c r="B9" s="192"/>
      <c r="C9" s="192"/>
      <c r="D9" s="192"/>
      <c r="E9" s="192"/>
      <c r="F9" s="192"/>
      <c r="G9" s="192"/>
      <c r="H9" s="192"/>
      <c r="I9" s="192"/>
      <c r="J9" s="192"/>
      <c r="AA9" t="s">
        <v>227</v>
      </c>
    </row>
    <row r="10" spans="1:27" x14ac:dyDescent="0.35">
      <c r="A10" s="192"/>
      <c r="B10" s="192"/>
      <c r="C10" s="192"/>
      <c r="D10" s="192"/>
      <c r="E10" s="192"/>
      <c r="F10" s="192"/>
      <c r="G10" s="192"/>
      <c r="H10" s="192"/>
      <c r="I10" s="192"/>
      <c r="J10" s="192"/>
      <c r="AA10" t="s">
        <v>228</v>
      </c>
    </row>
    <row r="11" spans="1:27" x14ac:dyDescent="0.35">
      <c r="A11" s="192"/>
      <c r="B11" s="192"/>
      <c r="C11" s="192"/>
      <c r="D11" s="192"/>
      <c r="E11" s="192"/>
      <c r="F11" s="192"/>
      <c r="G11" s="192"/>
      <c r="H11" s="192"/>
      <c r="I11" s="192"/>
      <c r="J11" s="192"/>
      <c r="AA11" t="s">
        <v>229</v>
      </c>
    </row>
    <row r="12" spans="1:27" x14ac:dyDescent="0.35">
      <c r="A12" s="192"/>
      <c r="B12" s="192"/>
      <c r="C12" s="192"/>
      <c r="D12" s="192"/>
      <c r="E12" s="192"/>
      <c r="F12" s="192"/>
      <c r="G12" s="192"/>
      <c r="H12" s="192"/>
      <c r="I12" s="192"/>
      <c r="J12" s="192"/>
      <c r="AA12" t="s">
        <v>230</v>
      </c>
    </row>
    <row r="13" spans="1:27" x14ac:dyDescent="0.35">
      <c r="A13" s="192"/>
      <c r="B13" s="192"/>
      <c r="C13" s="192"/>
      <c r="D13" s="192"/>
      <c r="E13" s="192"/>
      <c r="F13" s="192"/>
      <c r="G13" s="192"/>
      <c r="H13" s="192"/>
      <c r="I13" s="192"/>
      <c r="J13" s="192"/>
      <c r="AA13" t="s">
        <v>231</v>
      </c>
    </row>
    <row r="14" spans="1:27" x14ac:dyDescent="0.35">
      <c r="A14" s="192"/>
      <c r="B14" s="192"/>
      <c r="C14" s="192"/>
      <c r="D14" s="192"/>
      <c r="E14" s="192"/>
      <c r="F14" s="192"/>
      <c r="G14" s="192"/>
      <c r="H14" s="192"/>
      <c r="I14" s="192"/>
      <c r="J14" s="192"/>
      <c r="AA14" t="s">
        <v>232</v>
      </c>
    </row>
    <row r="15" spans="1:27" s="190" customFormat="1" x14ac:dyDescent="0.35">
      <c r="A15" s="192"/>
      <c r="B15" s="192"/>
      <c r="C15" s="192"/>
      <c r="D15" s="192"/>
      <c r="E15" s="192"/>
      <c r="F15" s="192"/>
      <c r="G15" s="192"/>
      <c r="H15" s="192"/>
      <c r="I15" s="192"/>
      <c r="J15" s="192"/>
      <c r="AA15" t="s">
        <v>233</v>
      </c>
    </row>
    <row r="16" spans="1:27" s="190" customFormat="1" x14ac:dyDescent="0.35">
      <c r="A16" s="192"/>
      <c r="B16" s="192"/>
      <c r="C16" s="192"/>
      <c r="D16" s="192"/>
      <c r="E16" s="192"/>
      <c r="F16" s="192"/>
      <c r="G16" s="192"/>
      <c r="H16" s="192"/>
      <c r="I16" s="192"/>
      <c r="J16" s="192"/>
      <c r="AA16"/>
    </row>
    <row r="17" spans="1:10" ht="30" customHeight="1" x14ac:dyDescent="0.35">
      <c r="A17" s="192"/>
      <c r="B17" s="192"/>
      <c r="C17" s="192"/>
      <c r="D17" s="192"/>
      <c r="E17" s="192"/>
      <c r="F17" s="192"/>
      <c r="G17" s="192"/>
      <c r="H17" s="192"/>
      <c r="I17" s="192"/>
      <c r="J17" s="192"/>
    </row>
    <row r="18" spans="1:10" ht="30" customHeight="1" x14ac:dyDescent="0.35">
      <c r="A18" s="193"/>
      <c r="B18" s="193"/>
      <c r="C18" s="193"/>
      <c r="D18" s="193"/>
      <c r="E18" s="193"/>
      <c r="F18" s="193"/>
      <c r="G18" s="193"/>
      <c r="H18" s="193"/>
      <c r="I18" s="193"/>
      <c r="J18" s="193"/>
    </row>
    <row r="19" spans="1:10" ht="30" customHeight="1" x14ac:dyDescent="0.35">
      <c r="A19" s="311" t="s">
        <v>234</v>
      </c>
      <c r="B19" s="311"/>
      <c r="C19" s="311"/>
      <c r="D19" s="311"/>
      <c r="E19" s="311"/>
      <c r="F19" s="311" t="s">
        <v>235</v>
      </c>
      <c r="G19" s="311"/>
      <c r="H19" s="311"/>
      <c r="I19" s="311"/>
      <c r="J19" s="311"/>
    </row>
    <row r="20" spans="1:10" ht="30" customHeight="1" x14ac:dyDescent="0.35">
      <c r="A20" s="302" t="s">
        <v>236</v>
      </c>
      <c r="B20" s="302"/>
      <c r="C20" s="302"/>
      <c r="D20" s="302"/>
      <c r="E20" s="302"/>
      <c r="F20" s="302"/>
      <c r="G20" s="302"/>
      <c r="H20" s="302"/>
      <c r="I20" s="302"/>
      <c r="J20" s="302"/>
    </row>
    <row r="21" spans="1:10" ht="30" customHeight="1" x14ac:dyDescent="0.35">
      <c r="A21" s="302" t="s">
        <v>237</v>
      </c>
      <c r="B21" s="302"/>
      <c r="C21" s="302"/>
      <c r="D21" s="302"/>
      <c r="E21" s="302"/>
      <c r="F21" s="302"/>
      <c r="G21" s="302"/>
      <c r="H21" s="302"/>
      <c r="I21" s="302"/>
      <c r="J21" s="302"/>
    </row>
    <row r="22" spans="1:10" ht="30" customHeight="1" x14ac:dyDescent="0.35">
      <c r="A22" s="302" t="s">
        <v>238</v>
      </c>
      <c r="B22" s="302"/>
      <c r="C22" s="302"/>
      <c r="D22" s="302"/>
      <c r="E22" s="302"/>
      <c r="F22" s="302"/>
      <c r="G22" s="302"/>
      <c r="H22" s="302"/>
      <c r="I22" s="302"/>
      <c r="J22" s="302"/>
    </row>
    <row r="23" spans="1:10" ht="30" customHeight="1" x14ac:dyDescent="0.35">
      <c r="A23" s="302" t="s">
        <v>239</v>
      </c>
      <c r="B23" s="302"/>
      <c r="C23" s="302"/>
      <c r="D23" s="302"/>
      <c r="E23" s="302"/>
      <c r="F23" s="304"/>
      <c r="G23" s="305"/>
      <c r="H23" s="305"/>
      <c r="I23" s="305"/>
      <c r="J23" s="306"/>
    </row>
    <row r="24" spans="1:10" ht="90" customHeight="1" x14ac:dyDescent="0.35">
      <c r="A24" s="302" t="s">
        <v>240</v>
      </c>
      <c r="B24" s="302"/>
      <c r="C24" s="302"/>
      <c r="D24" s="302"/>
      <c r="E24" s="302"/>
      <c r="F24" s="302"/>
      <c r="G24" s="302"/>
      <c r="H24" s="302"/>
      <c r="I24" s="302"/>
      <c r="J24" s="302"/>
    </row>
    <row r="25" spans="1:10" ht="90" customHeight="1" x14ac:dyDescent="0.35">
      <c r="A25" s="307" t="s">
        <v>241</v>
      </c>
      <c r="B25" s="308"/>
      <c r="C25" s="308"/>
      <c r="D25" s="308"/>
      <c r="E25" s="309"/>
      <c r="F25" s="310"/>
      <c r="G25" s="310"/>
      <c r="H25" s="310"/>
      <c r="I25" s="310"/>
      <c r="J25" s="310"/>
    </row>
    <row r="26" spans="1:10" ht="30" customHeight="1" x14ac:dyDescent="0.35">
      <c r="A26" s="302" t="s">
        <v>242</v>
      </c>
      <c r="B26" s="302"/>
      <c r="C26" s="302"/>
      <c r="D26" s="302"/>
      <c r="E26" s="302"/>
      <c r="F26" s="303"/>
      <c r="G26" s="302"/>
      <c r="H26" s="302"/>
      <c r="I26" s="302"/>
      <c r="J26" s="302"/>
    </row>
    <row r="27" spans="1:10" ht="30" customHeight="1" x14ac:dyDescent="0.35">
      <c r="A27" s="302" t="s">
        <v>243</v>
      </c>
      <c r="B27" s="302"/>
      <c r="C27" s="302"/>
      <c r="D27" s="302"/>
      <c r="E27" s="302"/>
      <c r="F27" s="303"/>
      <c r="G27" s="302"/>
      <c r="H27" s="302"/>
      <c r="I27" s="302"/>
      <c r="J27" s="302"/>
    </row>
    <row r="28" spans="1:10" ht="30" customHeight="1" x14ac:dyDescent="0.35">
      <c r="A28" s="302" t="s">
        <v>244</v>
      </c>
      <c r="B28" s="302"/>
      <c r="C28" s="302"/>
      <c r="D28" s="302"/>
      <c r="E28" s="302"/>
      <c r="F28" s="303"/>
      <c r="G28" s="302"/>
      <c r="H28" s="302"/>
      <c r="I28" s="302"/>
      <c r="J28" s="302"/>
    </row>
    <row r="29" spans="1:10" ht="30" customHeight="1" x14ac:dyDescent="0.35">
      <c r="A29" s="302" t="s">
        <v>245</v>
      </c>
      <c r="B29" s="302"/>
      <c r="C29" s="302"/>
      <c r="D29" s="302"/>
      <c r="E29" s="302"/>
      <c r="F29" s="303"/>
      <c r="G29" s="302"/>
      <c r="H29" s="302"/>
      <c r="I29" s="302"/>
      <c r="J29" s="302"/>
    </row>
    <row r="30" spans="1:10" x14ac:dyDescent="0.35">
      <c r="F30" s="194"/>
    </row>
    <row r="31" spans="1:10" x14ac:dyDescent="0.35">
      <c r="F31" s="194"/>
    </row>
    <row r="32" spans="1:10" x14ac:dyDescent="0.35">
      <c r="F32" s="194"/>
    </row>
    <row r="33" spans="6:6" x14ac:dyDescent="0.35">
      <c r="F33" s="194"/>
    </row>
    <row r="34" spans="6:6" x14ac:dyDescent="0.35">
      <c r="F34" s="194"/>
    </row>
    <row r="35" spans="6:6" x14ac:dyDescent="0.35">
      <c r="F35" s="194"/>
    </row>
  </sheetData>
  <mergeCells count="32">
    <mergeCell ref="A19:E19"/>
    <mergeCell ref="F19:J19"/>
    <mergeCell ref="A21:E21"/>
    <mergeCell ref="F21:J21"/>
    <mergeCell ref="A1:J1"/>
    <mergeCell ref="A2:E2"/>
    <mergeCell ref="F2:J2"/>
    <mergeCell ref="A3:E3"/>
    <mergeCell ref="F3:J3"/>
    <mergeCell ref="A4:E4"/>
    <mergeCell ref="A26:E26"/>
    <mergeCell ref="F26:J26"/>
    <mergeCell ref="A5:E5"/>
    <mergeCell ref="F5:J5"/>
    <mergeCell ref="A6:E6"/>
    <mergeCell ref="F6:J6"/>
    <mergeCell ref="A20:E20"/>
    <mergeCell ref="F20:J20"/>
    <mergeCell ref="A23:E23"/>
    <mergeCell ref="F23:J23"/>
    <mergeCell ref="A24:E24"/>
    <mergeCell ref="F24:J24"/>
    <mergeCell ref="A25:E25"/>
    <mergeCell ref="F25:J25"/>
    <mergeCell ref="A22:E22"/>
    <mergeCell ref="F22:J22"/>
    <mergeCell ref="A27:E27"/>
    <mergeCell ref="A28:E28"/>
    <mergeCell ref="A29:E29"/>
    <mergeCell ref="F27:J27"/>
    <mergeCell ref="F28:J28"/>
    <mergeCell ref="F29:J29"/>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4033" r:id="rId4" name="List Box 1">
              <controlPr defaultSize="0" autoLine="0" autoPict="0">
                <anchor moveWithCells="1">
                  <from>
                    <xdr:col>5</xdr:col>
                    <xdr:colOff>107950</xdr:colOff>
                    <xdr:row>24</xdr:row>
                    <xdr:rowOff>69850</xdr:rowOff>
                  </from>
                  <to>
                    <xdr:col>9</xdr:col>
                    <xdr:colOff>304800</xdr:colOff>
                    <xdr:row>24</xdr:row>
                    <xdr:rowOff>1079500</xdr:rowOff>
                  </to>
                </anchor>
              </controlPr>
            </control>
          </mc:Choice>
        </mc:AlternateContent>
        <mc:AlternateContent xmlns:mc="http://schemas.openxmlformats.org/markup-compatibility/2006">
          <mc:Choice Requires="x14">
            <control shapeId="44034" r:id="rId5" name="Check Box 2">
              <controlPr defaultSize="0" autoFill="0" autoLine="0" autoPict="0">
                <anchor moveWithCells="1">
                  <from>
                    <xdr:col>5</xdr:col>
                    <xdr:colOff>107950</xdr:colOff>
                    <xdr:row>22</xdr:row>
                    <xdr:rowOff>107950</xdr:rowOff>
                  </from>
                  <to>
                    <xdr:col>5</xdr:col>
                    <xdr:colOff>527050</xdr:colOff>
                    <xdr:row>22</xdr:row>
                    <xdr:rowOff>298450</xdr:rowOff>
                  </to>
                </anchor>
              </controlPr>
            </control>
          </mc:Choice>
        </mc:AlternateContent>
        <mc:AlternateContent xmlns:mc="http://schemas.openxmlformats.org/markup-compatibility/2006">
          <mc:Choice Requires="x14">
            <control shapeId="44035" r:id="rId6" name="Check Box 3">
              <controlPr defaultSize="0" autoFill="0" autoLine="0" autoPict="0">
                <anchor moveWithCells="1">
                  <from>
                    <xdr:col>6</xdr:col>
                    <xdr:colOff>0</xdr:colOff>
                    <xdr:row>22</xdr:row>
                    <xdr:rowOff>107950</xdr:rowOff>
                  </from>
                  <to>
                    <xdr:col>6</xdr:col>
                    <xdr:colOff>450850</xdr:colOff>
                    <xdr:row>22</xdr:row>
                    <xdr:rowOff>304800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900-000000000000}">
          <x14:formula1>
            <xm:f>'Formulas and Lists'!$L$3:$L$4</xm:f>
          </x14:formula1>
          <xm:sqref>F21:J21</xm:sqref>
        </x14:dataValidation>
        <x14:dataValidation type="list" allowBlank="1" showInputMessage="1" showErrorMessage="1" xr:uid="{00000000-0002-0000-0900-000001000000}">
          <x14:formula1>
            <xm:f>'Formulas and Lists'!$L$6:$L$8</xm:f>
          </x14:formula1>
          <xm:sqref>F27:J27</xm:sqref>
        </x14:dataValidation>
        <x14:dataValidation type="list" allowBlank="1" showInputMessage="1" showErrorMessage="1" xr:uid="{00000000-0002-0000-0900-000002000000}">
          <x14:formula1>
            <xm:f>'Formulas and Lists'!$L$10:$L$12</xm:f>
          </x14:formula1>
          <xm:sqref>F28:J28</xm:sqref>
        </x14:dataValidation>
        <x14:dataValidation type="list" allowBlank="1" showInputMessage="1" showErrorMessage="1" xr:uid="{00000000-0002-0000-0900-000003000000}">
          <x14:formula1>
            <xm:f>'Formulas and Lists'!$L$14:$L$17</xm:f>
          </x14:formula1>
          <xm:sqref>F29:J29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4"/>
  <dimension ref="A1:J18"/>
  <sheetViews>
    <sheetView showGridLines="0" workbookViewId="0">
      <selection activeCell="A18" sqref="A18:J18"/>
    </sheetView>
  </sheetViews>
  <sheetFormatPr defaultRowHeight="14.5" x14ac:dyDescent="0.35"/>
  <cols>
    <col min="1" max="1" width="17.54296875" customWidth="1"/>
    <col min="2" max="2" width="15.54296875" customWidth="1"/>
    <col min="3" max="3" width="9.54296875" customWidth="1"/>
    <col min="4" max="4" width="12.54296875" customWidth="1"/>
    <col min="5" max="5" width="31.453125" customWidth="1"/>
    <col min="6" max="9" width="9.453125"/>
    <col min="10" max="10" width="24.54296875" customWidth="1"/>
    <col min="11" max="256" width="9.453125"/>
    <col min="257" max="257" width="17.54296875" customWidth="1"/>
    <col min="258" max="258" width="15.54296875" customWidth="1"/>
    <col min="259" max="259" width="9.54296875" customWidth="1"/>
    <col min="260" max="260" width="12.54296875" customWidth="1"/>
    <col min="261" max="261" width="31.453125" customWidth="1"/>
    <col min="262" max="265" width="9.453125"/>
    <col min="266" max="266" width="24.54296875" customWidth="1"/>
    <col min="267" max="512" width="9.453125"/>
    <col min="513" max="513" width="17.54296875" customWidth="1"/>
    <col min="514" max="514" width="15.54296875" customWidth="1"/>
    <col min="515" max="515" width="9.54296875" customWidth="1"/>
    <col min="516" max="516" width="12.54296875" customWidth="1"/>
    <col min="517" max="517" width="31.453125" customWidth="1"/>
    <col min="518" max="521" width="9.453125"/>
    <col min="522" max="522" width="24.54296875" customWidth="1"/>
    <col min="523" max="768" width="9.453125"/>
    <col min="769" max="769" width="17.54296875" customWidth="1"/>
    <col min="770" max="770" width="15.54296875" customWidth="1"/>
    <col min="771" max="771" width="9.54296875" customWidth="1"/>
    <col min="772" max="772" width="12.54296875" customWidth="1"/>
    <col min="773" max="773" width="31.453125" customWidth="1"/>
    <col min="774" max="777" width="9.453125"/>
    <col min="778" max="778" width="24.54296875" customWidth="1"/>
    <col min="779" max="1024" width="9.453125"/>
    <col min="1025" max="1025" width="17.54296875" customWidth="1"/>
    <col min="1026" max="1026" width="15.54296875" customWidth="1"/>
    <col min="1027" max="1027" width="9.54296875" customWidth="1"/>
    <col min="1028" max="1028" width="12.54296875" customWidth="1"/>
    <col min="1029" max="1029" width="31.453125" customWidth="1"/>
    <col min="1030" max="1033" width="9.453125"/>
    <col min="1034" max="1034" width="24.54296875" customWidth="1"/>
    <col min="1035" max="1280" width="9.453125"/>
    <col min="1281" max="1281" width="17.54296875" customWidth="1"/>
    <col min="1282" max="1282" width="15.54296875" customWidth="1"/>
    <col min="1283" max="1283" width="9.54296875" customWidth="1"/>
    <col min="1284" max="1284" width="12.54296875" customWidth="1"/>
    <col min="1285" max="1285" width="31.453125" customWidth="1"/>
    <col min="1286" max="1289" width="9.453125"/>
    <col min="1290" max="1290" width="24.54296875" customWidth="1"/>
    <col min="1291" max="1536" width="9.453125"/>
    <col min="1537" max="1537" width="17.54296875" customWidth="1"/>
    <col min="1538" max="1538" width="15.54296875" customWidth="1"/>
    <col min="1539" max="1539" width="9.54296875" customWidth="1"/>
    <col min="1540" max="1540" width="12.54296875" customWidth="1"/>
    <col min="1541" max="1541" width="31.453125" customWidth="1"/>
    <col min="1542" max="1545" width="9.453125"/>
    <col min="1546" max="1546" width="24.54296875" customWidth="1"/>
    <col min="1547" max="1792" width="9.453125"/>
    <col min="1793" max="1793" width="17.54296875" customWidth="1"/>
    <col min="1794" max="1794" width="15.54296875" customWidth="1"/>
    <col min="1795" max="1795" width="9.54296875" customWidth="1"/>
    <col min="1796" max="1796" width="12.54296875" customWidth="1"/>
    <col min="1797" max="1797" width="31.453125" customWidth="1"/>
    <col min="1798" max="1801" width="9.453125"/>
    <col min="1802" max="1802" width="24.54296875" customWidth="1"/>
    <col min="1803" max="2048" width="9.453125"/>
    <col min="2049" max="2049" width="17.54296875" customWidth="1"/>
    <col min="2050" max="2050" width="15.54296875" customWidth="1"/>
    <col min="2051" max="2051" width="9.54296875" customWidth="1"/>
    <col min="2052" max="2052" width="12.54296875" customWidth="1"/>
    <col min="2053" max="2053" width="31.453125" customWidth="1"/>
    <col min="2054" max="2057" width="9.453125"/>
    <col min="2058" max="2058" width="24.54296875" customWidth="1"/>
    <col min="2059" max="2304" width="9.453125"/>
    <col min="2305" max="2305" width="17.54296875" customWidth="1"/>
    <col min="2306" max="2306" width="15.54296875" customWidth="1"/>
    <col min="2307" max="2307" width="9.54296875" customWidth="1"/>
    <col min="2308" max="2308" width="12.54296875" customWidth="1"/>
    <col min="2309" max="2309" width="31.453125" customWidth="1"/>
    <col min="2310" max="2313" width="9.453125"/>
    <col min="2314" max="2314" width="24.54296875" customWidth="1"/>
    <col min="2315" max="2560" width="9.453125"/>
    <col min="2561" max="2561" width="17.54296875" customWidth="1"/>
    <col min="2562" max="2562" width="15.54296875" customWidth="1"/>
    <col min="2563" max="2563" width="9.54296875" customWidth="1"/>
    <col min="2564" max="2564" width="12.54296875" customWidth="1"/>
    <col min="2565" max="2565" width="31.453125" customWidth="1"/>
    <col min="2566" max="2569" width="9.453125"/>
    <col min="2570" max="2570" width="24.54296875" customWidth="1"/>
    <col min="2571" max="2816" width="9.453125"/>
    <col min="2817" max="2817" width="17.54296875" customWidth="1"/>
    <col min="2818" max="2818" width="15.54296875" customWidth="1"/>
    <col min="2819" max="2819" width="9.54296875" customWidth="1"/>
    <col min="2820" max="2820" width="12.54296875" customWidth="1"/>
    <col min="2821" max="2821" width="31.453125" customWidth="1"/>
    <col min="2822" max="2825" width="9.453125"/>
    <col min="2826" max="2826" width="24.54296875" customWidth="1"/>
    <col min="2827" max="3072" width="9.453125"/>
    <col min="3073" max="3073" width="17.54296875" customWidth="1"/>
    <col min="3074" max="3074" width="15.54296875" customWidth="1"/>
    <col min="3075" max="3075" width="9.54296875" customWidth="1"/>
    <col min="3076" max="3076" width="12.54296875" customWidth="1"/>
    <col min="3077" max="3077" width="31.453125" customWidth="1"/>
    <col min="3078" max="3081" width="9.453125"/>
    <col min="3082" max="3082" width="24.54296875" customWidth="1"/>
    <col min="3083" max="3328" width="9.453125"/>
    <col min="3329" max="3329" width="17.54296875" customWidth="1"/>
    <col min="3330" max="3330" width="15.54296875" customWidth="1"/>
    <col min="3331" max="3331" width="9.54296875" customWidth="1"/>
    <col min="3332" max="3332" width="12.54296875" customWidth="1"/>
    <col min="3333" max="3333" width="31.453125" customWidth="1"/>
    <col min="3334" max="3337" width="9.453125"/>
    <col min="3338" max="3338" width="24.54296875" customWidth="1"/>
    <col min="3339" max="3584" width="9.453125"/>
    <col min="3585" max="3585" width="17.54296875" customWidth="1"/>
    <col min="3586" max="3586" width="15.54296875" customWidth="1"/>
    <col min="3587" max="3587" width="9.54296875" customWidth="1"/>
    <col min="3588" max="3588" width="12.54296875" customWidth="1"/>
    <col min="3589" max="3589" width="31.453125" customWidth="1"/>
    <col min="3590" max="3593" width="9.453125"/>
    <col min="3594" max="3594" width="24.54296875" customWidth="1"/>
    <col min="3595" max="3840" width="9.453125"/>
    <col min="3841" max="3841" width="17.54296875" customWidth="1"/>
    <col min="3842" max="3842" width="15.54296875" customWidth="1"/>
    <col min="3843" max="3843" width="9.54296875" customWidth="1"/>
    <col min="3844" max="3844" width="12.54296875" customWidth="1"/>
    <col min="3845" max="3845" width="31.453125" customWidth="1"/>
    <col min="3846" max="3849" width="9.453125"/>
    <col min="3850" max="3850" width="24.54296875" customWidth="1"/>
    <col min="3851" max="4096" width="9.453125"/>
    <col min="4097" max="4097" width="17.54296875" customWidth="1"/>
    <col min="4098" max="4098" width="15.54296875" customWidth="1"/>
    <col min="4099" max="4099" width="9.54296875" customWidth="1"/>
    <col min="4100" max="4100" width="12.54296875" customWidth="1"/>
    <col min="4101" max="4101" width="31.453125" customWidth="1"/>
    <col min="4102" max="4105" width="9.453125"/>
    <col min="4106" max="4106" width="24.54296875" customWidth="1"/>
    <col min="4107" max="4352" width="9.453125"/>
    <col min="4353" max="4353" width="17.54296875" customWidth="1"/>
    <col min="4354" max="4354" width="15.54296875" customWidth="1"/>
    <col min="4355" max="4355" width="9.54296875" customWidth="1"/>
    <col min="4356" max="4356" width="12.54296875" customWidth="1"/>
    <col min="4357" max="4357" width="31.453125" customWidth="1"/>
    <col min="4358" max="4361" width="9.453125"/>
    <col min="4362" max="4362" width="24.54296875" customWidth="1"/>
    <col min="4363" max="4608" width="9.453125"/>
    <col min="4609" max="4609" width="17.54296875" customWidth="1"/>
    <col min="4610" max="4610" width="15.54296875" customWidth="1"/>
    <col min="4611" max="4611" width="9.54296875" customWidth="1"/>
    <col min="4612" max="4612" width="12.54296875" customWidth="1"/>
    <col min="4613" max="4613" width="31.453125" customWidth="1"/>
    <col min="4614" max="4617" width="9.453125"/>
    <col min="4618" max="4618" width="24.54296875" customWidth="1"/>
    <col min="4619" max="4864" width="9.453125"/>
    <col min="4865" max="4865" width="17.54296875" customWidth="1"/>
    <col min="4866" max="4866" width="15.54296875" customWidth="1"/>
    <col min="4867" max="4867" width="9.54296875" customWidth="1"/>
    <col min="4868" max="4868" width="12.54296875" customWidth="1"/>
    <col min="4869" max="4869" width="31.453125" customWidth="1"/>
    <col min="4870" max="4873" width="9.453125"/>
    <col min="4874" max="4874" width="24.54296875" customWidth="1"/>
    <col min="4875" max="5120" width="9.453125"/>
    <col min="5121" max="5121" width="17.54296875" customWidth="1"/>
    <col min="5122" max="5122" width="15.54296875" customWidth="1"/>
    <col min="5123" max="5123" width="9.54296875" customWidth="1"/>
    <col min="5124" max="5124" width="12.54296875" customWidth="1"/>
    <col min="5125" max="5125" width="31.453125" customWidth="1"/>
    <col min="5126" max="5129" width="9.453125"/>
    <col min="5130" max="5130" width="24.54296875" customWidth="1"/>
    <col min="5131" max="5376" width="9.453125"/>
    <col min="5377" max="5377" width="17.54296875" customWidth="1"/>
    <col min="5378" max="5378" width="15.54296875" customWidth="1"/>
    <col min="5379" max="5379" width="9.54296875" customWidth="1"/>
    <col min="5380" max="5380" width="12.54296875" customWidth="1"/>
    <col min="5381" max="5381" width="31.453125" customWidth="1"/>
    <col min="5382" max="5385" width="9.453125"/>
    <col min="5386" max="5386" width="24.54296875" customWidth="1"/>
    <col min="5387" max="5632" width="9.453125"/>
    <col min="5633" max="5633" width="17.54296875" customWidth="1"/>
    <col min="5634" max="5634" width="15.54296875" customWidth="1"/>
    <col min="5635" max="5635" width="9.54296875" customWidth="1"/>
    <col min="5636" max="5636" width="12.54296875" customWidth="1"/>
    <col min="5637" max="5637" width="31.453125" customWidth="1"/>
    <col min="5638" max="5641" width="9.453125"/>
    <col min="5642" max="5642" width="24.54296875" customWidth="1"/>
    <col min="5643" max="5888" width="9.453125"/>
    <col min="5889" max="5889" width="17.54296875" customWidth="1"/>
    <col min="5890" max="5890" width="15.54296875" customWidth="1"/>
    <col min="5891" max="5891" width="9.54296875" customWidth="1"/>
    <col min="5892" max="5892" width="12.54296875" customWidth="1"/>
    <col min="5893" max="5893" width="31.453125" customWidth="1"/>
    <col min="5894" max="5897" width="9.453125"/>
    <col min="5898" max="5898" width="24.54296875" customWidth="1"/>
    <col min="5899" max="6144" width="9.453125"/>
    <col min="6145" max="6145" width="17.54296875" customWidth="1"/>
    <col min="6146" max="6146" width="15.54296875" customWidth="1"/>
    <col min="6147" max="6147" width="9.54296875" customWidth="1"/>
    <col min="6148" max="6148" width="12.54296875" customWidth="1"/>
    <col min="6149" max="6149" width="31.453125" customWidth="1"/>
    <col min="6150" max="6153" width="9.453125"/>
    <col min="6154" max="6154" width="24.54296875" customWidth="1"/>
    <col min="6155" max="6400" width="9.453125"/>
    <col min="6401" max="6401" width="17.54296875" customWidth="1"/>
    <col min="6402" max="6402" width="15.54296875" customWidth="1"/>
    <col min="6403" max="6403" width="9.54296875" customWidth="1"/>
    <col min="6404" max="6404" width="12.54296875" customWidth="1"/>
    <col min="6405" max="6405" width="31.453125" customWidth="1"/>
    <col min="6406" max="6409" width="9.453125"/>
    <col min="6410" max="6410" width="24.54296875" customWidth="1"/>
    <col min="6411" max="6656" width="9.453125"/>
    <col min="6657" max="6657" width="17.54296875" customWidth="1"/>
    <col min="6658" max="6658" width="15.54296875" customWidth="1"/>
    <col min="6659" max="6659" width="9.54296875" customWidth="1"/>
    <col min="6660" max="6660" width="12.54296875" customWidth="1"/>
    <col min="6661" max="6661" width="31.453125" customWidth="1"/>
    <col min="6662" max="6665" width="9.453125"/>
    <col min="6666" max="6666" width="24.54296875" customWidth="1"/>
    <col min="6667" max="6912" width="9.453125"/>
    <col min="6913" max="6913" width="17.54296875" customWidth="1"/>
    <col min="6914" max="6914" width="15.54296875" customWidth="1"/>
    <col min="6915" max="6915" width="9.54296875" customWidth="1"/>
    <col min="6916" max="6916" width="12.54296875" customWidth="1"/>
    <col min="6917" max="6917" width="31.453125" customWidth="1"/>
    <col min="6918" max="6921" width="9.453125"/>
    <col min="6922" max="6922" width="24.54296875" customWidth="1"/>
    <col min="6923" max="7168" width="9.453125"/>
    <col min="7169" max="7169" width="17.54296875" customWidth="1"/>
    <col min="7170" max="7170" width="15.54296875" customWidth="1"/>
    <col min="7171" max="7171" width="9.54296875" customWidth="1"/>
    <col min="7172" max="7172" width="12.54296875" customWidth="1"/>
    <col min="7173" max="7173" width="31.453125" customWidth="1"/>
    <col min="7174" max="7177" width="9.453125"/>
    <col min="7178" max="7178" width="24.54296875" customWidth="1"/>
    <col min="7179" max="7424" width="9.453125"/>
    <col min="7425" max="7425" width="17.54296875" customWidth="1"/>
    <col min="7426" max="7426" width="15.54296875" customWidth="1"/>
    <col min="7427" max="7427" width="9.54296875" customWidth="1"/>
    <col min="7428" max="7428" width="12.54296875" customWidth="1"/>
    <col min="7429" max="7429" width="31.453125" customWidth="1"/>
    <col min="7430" max="7433" width="9.453125"/>
    <col min="7434" max="7434" width="24.54296875" customWidth="1"/>
    <col min="7435" max="7680" width="9.453125"/>
    <col min="7681" max="7681" width="17.54296875" customWidth="1"/>
    <col min="7682" max="7682" width="15.54296875" customWidth="1"/>
    <col min="7683" max="7683" width="9.54296875" customWidth="1"/>
    <col min="7684" max="7684" width="12.54296875" customWidth="1"/>
    <col min="7685" max="7685" width="31.453125" customWidth="1"/>
    <col min="7686" max="7689" width="9.453125"/>
    <col min="7690" max="7690" width="24.54296875" customWidth="1"/>
    <col min="7691" max="7936" width="9.453125"/>
    <col min="7937" max="7937" width="17.54296875" customWidth="1"/>
    <col min="7938" max="7938" width="15.54296875" customWidth="1"/>
    <col min="7939" max="7939" width="9.54296875" customWidth="1"/>
    <col min="7940" max="7940" width="12.54296875" customWidth="1"/>
    <col min="7941" max="7941" width="31.453125" customWidth="1"/>
    <col min="7942" max="7945" width="9.453125"/>
    <col min="7946" max="7946" width="24.54296875" customWidth="1"/>
    <col min="7947" max="8192" width="9.453125"/>
    <col min="8193" max="8193" width="17.54296875" customWidth="1"/>
    <col min="8194" max="8194" width="15.54296875" customWidth="1"/>
    <col min="8195" max="8195" width="9.54296875" customWidth="1"/>
    <col min="8196" max="8196" width="12.54296875" customWidth="1"/>
    <col min="8197" max="8197" width="31.453125" customWidth="1"/>
    <col min="8198" max="8201" width="9.453125"/>
    <col min="8202" max="8202" width="24.54296875" customWidth="1"/>
    <col min="8203" max="8448" width="9.453125"/>
    <col min="8449" max="8449" width="17.54296875" customWidth="1"/>
    <col min="8450" max="8450" width="15.54296875" customWidth="1"/>
    <col min="8451" max="8451" width="9.54296875" customWidth="1"/>
    <col min="8452" max="8452" width="12.54296875" customWidth="1"/>
    <col min="8453" max="8453" width="31.453125" customWidth="1"/>
    <col min="8454" max="8457" width="9.453125"/>
    <col min="8458" max="8458" width="24.54296875" customWidth="1"/>
    <col min="8459" max="8704" width="9.453125"/>
    <col min="8705" max="8705" width="17.54296875" customWidth="1"/>
    <col min="8706" max="8706" width="15.54296875" customWidth="1"/>
    <col min="8707" max="8707" width="9.54296875" customWidth="1"/>
    <col min="8708" max="8708" width="12.54296875" customWidth="1"/>
    <col min="8709" max="8709" width="31.453125" customWidth="1"/>
    <col min="8710" max="8713" width="9.453125"/>
    <col min="8714" max="8714" width="24.54296875" customWidth="1"/>
    <col min="8715" max="8960" width="9.453125"/>
    <col min="8961" max="8961" width="17.54296875" customWidth="1"/>
    <col min="8962" max="8962" width="15.54296875" customWidth="1"/>
    <col min="8963" max="8963" width="9.54296875" customWidth="1"/>
    <col min="8964" max="8964" width="12.54296875" customWidth="1"/>
    <col min="8965" max="8965" width="31.453125" customWidth="1"/>
    <col min="8966" max="8969" width="9.453125"/>
    <col min="8970" max="8970" width="24.54296875" customWidth="1"/>
    <col min="8971" max="9216" width="9.453125"/>
    <col min="9217" max="9217" width="17.54296875" customWidth="1"/>
    <col min="9218" max="9218" width="15.54296875" customWidth="1"/>
    <col min="9219" max="9219" width="9.54296875" customWidth="1"/>
    <col min="9220" max="9220" width="12.54296875" customWidth="1"/>
    <col min="9221" max="9221" width="31.453125" customWidth="1"/>
    <col min="9222" max="9225" width="9.453125"/>
    <col min="9226" max="9226" width="24.54296875" customWidth="1"/>
    <col min="9227" max="9472" width="9.453125"/>
    <col min="9473" max="9473" width="17.54296875" customWidth="1"/>
    <col min="9474" max="9474" width="15.54296875" customWidth="1"/>
    <col min="9475" max="9475" width="9.54296875" customWidth="1"/>
    <col min="9476" max="9476" width="12.54296875" customWidth="1"/>
    <col min="9477" max="9477" width="31.453125" customWidth="1"/>
    <col min="9478" max="9481" width="9.453125"/>
    <col min="9482" max="9482" width="24.54296875" customWidth="1"/>
    <col min="9483" max="9728" width="9.453125"/>
    <col min="9729" max="9729" width="17.54296875" customWidth="1"/>
    <col min="9730" max="9730" width="15.54296875" customWidth="1"/>
    <col min="9731" max="9731" width="9.54296875" customWidth="1"/>
    <col min="9732" max="9732" width="12.54296875" customWidth="1"/>
    <col min="9733" max="9733" width="31.453125" customWidth="1"/>
    <col min="9734" max="9737" width="9.453125"/>
    <col min="9738" max="9738" width="24.54296875" customWidth="1"/>
    <col min="9739" max="9984" width="9.453125"/>
    <col min="9985" max="9985" width="17.54296875" customWidth="1"/>
    <col min="9986" max="9986" width="15.54296875" customWidth="1"/>
    <col min="9987" max="9987" width="9.54296875" customWidth="1"/>
    <col min="9988" max="9988" width="12.54296875" customWidth="1"/>
    <col min="9989" max="9989" width="31.453125" customWidth="1"/>
    <col min="9990" max="9993" width="9.453125"/>
    <col min="9994" max="9994" width="24.54296875" customWidth="1"/>
    <col min="9995" max="10240" width="9.453125"/>
    <col min="10241" max="10241" width="17.54296875" customWidth="1"/>
    <col min="10242" max="10242" width="15.54296875" customWidth="1"/>
    <col min="10243" max="10243" width="9.54296875" customWidth="1"/>
    <col min="10244" max="10244" width="12.54296875" customWidth="1"/>
    <col min="10245" max="10245" width="31.453125" customWidth="1"/>
    <col min="10246" max="10249" width="9.453125"/>
    <col min="10250" max="10250" width="24.54296875" customWidth="1"/>
    <col min="10251" max="10496" width="9.453125"/>
    <col min="10497" max="10497" width="17.54296875" customWidth="1"/>
    <col min="10498" max="10498" width="15.54296875" customWidth="1"/>
    <col min="10499" max="10499" width="9.54296875" customWidth="1"/>
    <col min="10500" max="10500" width="12.54296875" customWidth="1"/>
    <col min="10501" max="10501" width="31.453125" customWidth="1"/>
    <col min="10502" max="10505" width="9.453125"/>
    <col min="10506" max="10506" width="24.54296875" customWidth="1"/>
    <col min="10507" max="10752" width="9.453125"/>
    <col min="10753" max="10753" width="17.54296875" customWidth="1"/>
    <col min="10754" max="10754" width="15.54296875" customWidth="1"/>
    <col min="10755" max="10755" width="9.54296875" customWidth="1"/>
    <col min="10756" max="10756" width="12.54296875" customWidth="1"/>
    <col min="10757" max="10757" width="31.453125" customWidth="1"/>
    <col min="10758" max="10761" width="9.453125"/>
    <col min="10762" max="10762" width="24.54296875" customWidth="1"/>
    <col min="10763" max="11008" width="9.453125"/>
    <col min="11009" max="11009" width="17.54296875" customWidth="1"/>
    <col min="11010" max="11010" width="15.54296875" customWidth="1"/>
    <col min="11011" max="11011" width="9.54296875" customWidth="1"/>
    <col min="11012" max="11012" width="12.54296875" customWidth="1"/>
    <col min="11013" max="11013" width="31.453125" customWidth="1"/>
    <col min="11014" max="11017" width="9.453125"/>
    <col min="11018" max="11018" width="24.54296875" customWidth="1"/>
    <col min="11019" max="11264" width="9.453125"/>
    <col min="11265" max="11265" width="17.54296875" customWidth="1"/>
    <col min="11266" max="11266" width="15.54296875" customWidth="1"/>
    <col min="11267" max="11267" width="9.54296875" customWidth="1"/>
    <col min="11268" max="11268" width="12.54296875" customWidth="1"/>
    <col min="11269" max="11269" width="31.453125" customWidth="1"/>
    <col min="11270" max="11273" width="9.453125"/>
    <col min="11274" max="11274" width="24.54296875" customWidth="1"/>
    <col min="11275" max="11520" width="9.453125"/>
    <col min="11521" max="11521" width="17.54296875" customWidth="1"/>
    <col min="11522" max="11522" width="15.54296875" customWidth="1"/>
    <col min="11523" max="11523" width="9.54296875" customWidth="1"/>
    <col min="11524" max="11524" width="12.54296875" customWidth="1"/>
    <col min="11525" max="11525" width="31.453125" customWidth="1"/>
    <col min="11526" max="11529" width="9.453125"/>
    <col min="11530" max="11530" width="24.54296875" customWidth="1"/>
    <col min="11531" max="11776" width="9.453125"/>
    <col min="11777" max="11777" width="17.54296875" customWidth="1"/>
    <col min="11778" max="11778" width="15.54296875" customWidth="1"/>
    <col min="11779" max="11779" width="9.54296875" customWidth="1"/>
    <col min="11780" max="11780" width="12.54296875" customWidth="1"/>
    <col min="11781" max="11781" width="31.453125" customWidth="1"/>
    <col min="11782" max="11785" width="9.453125"/>
    <col min="11786" max="11786" width="24.54296875" customWidth="1"/>
    <col min="11787" max="12032" width="9.453125"/>
    <col min="12033" max="12033" width="17.54296875" customWidth="1"/>
    <col min="12034" max="12034" width="15.54296875" customWidth="1"/>
    <col min="12035" max="12035" width="9.54296875" customWidth="1"/>
    <col min="12036" max="12036" width="12.54296875" customWidth="1"/>
    <col min="12037" max="12037" width="31.453125" customWidth="1"/>
    <col min="12038" max="12041" width="9.453125"/>
    <col min="12042" max="12042" width="24.54296875" customWidth="1"/>
    <col min="12043" max="12288" width="9.453125"/>
    <col min="12289" max="12289" width="17.54296875" customWidth="1"/>
    <col min="12290" max="12290" width="15.54296875" customWidth="1"/>
    <col min="12291" max="12291" width="9.54296875" customWidth="1"/>
    <col min="12292" max="12292" width="12.54296875" customWidth="1"/>
    <col min="12293" max="12293" width="31.453125" customWidth="1"/>
    <col min="12294" max="12297" width="9.453125"/>
    <col min="12298" max="12298" width="24.54296875" customWidth="1"/>
    <col min="12299" max="12544" width="9.453125"/>
    <col min="12545" max="12545" width="17.54296875" customWidth="1"/>
    <col min="12546" max="12546" width="15.54296875" customWidth="1"/>
    <col min="12547" max="12547" width="9.54296875" customWidth="1"/>
    <col min="12548" max="12548" width="12.54296875" customWidth="1"/>
    <col min="12549" max="12549" width="31.453125" customWidth="1"/>
    <col min="12550" max="12553" width="9.453125"/>
    <col min="12554" max="12554" width="24.54296875" customWidth="1"/>
    <col min="12555" max="12800" width="9.453125"/>
    <col min="12801" max="12801" width="17.54296875" customWidth="1"/>
    <col min="12802" max="12802" width="15.54296875" customWidth="1"/>
    <col min="12803" max="12803" width="9.54296875" customWidth="1"/>
    <col min="12804" max="12804" width="12.54296875" customWidth="1"/>
    <col min="12805" max="12805" width="31.453125" customWidth="1"/>
    <col min="12806" max="12809" width="9.453125"/>
    <col min="12810" max="12810" width="24.54296875" customWidth="1"/>
    <col min="12811" max="13056" width="9.453125"/>
    <col min="13057" max="13057" width="17.54296875" customWidth="1"/>
    <col min="13058" max="13058" width="15.54296875" customWidth="1"/>
    <col min="13059" max="13059" width="9.54296875" customWidth="1"/>
    <col min="13060" max="13060" width="12.54296875" customWidth="1"/>
    <col min="13061" max="13061" width="31.453125" customWidth="1"/>
    <col min="13062" max="13065" width="9.453125"/>
    <col min="13066" max="13066" width="24.54296875" customWidth="1"/>
    <col min="13067" max="13312" width="9.453125"/>
    <col min="13313" max="13313" width="17.54296875" customWidth="1"/>
    <col min="13314" max="13314" width="15.54296875" customWidth="1"/>
    <col min="13315" max="13315" width="9.54296875" customWidth="1"/>
    <col min="13316" max="13316" width="12.54296875" customWidth="1"/>
    <col min="13317" max="13317" width="31.453125" customWidth="1"/>
    <col min="13318" max="13321" width="9.453125"/>
    <col min="13322" max="13322" width="24.54296875" customWidth="1"/>
    <col min="13323" max="13568" width="9.453125"/>
    <col min="13569" max="13569" width="17.54296875" customWidth="1"/>
    <col min="13570" max="13570" width="15.54296875" customWidth="1"/>
    <col min="13571" max="13571" width="9.54296875" customWidth="1"/>
    <col min="13572" max="13572" width="12.54296875" customWidth="1"/>
    <col min="13573" max="13573" width="31.453125" customWidth="1"/>
    <col min="13574" max="13577" width="9.453125"/>
    <col min="13578" max="13578" width="24.54296875" customWidth="1"/>
    <col min="13579" max="13824" width="9.453125"/>
    <col min="13825" max="13825" width="17.54296875" customWidth="1"/>
    <col min="13826" max="13826" width="15.54296875" customWidth="1"/>
    <col min="13827" max="13827" width="9.54296875" customWidth="1"/>
    <col min="13828" max="13828" width="12.54296875" customWidth="1"/>
    <col min="13829" max="13829" width="31.453125" customWidth="1"/>
    <col min="13830" max="13833" width="9.453125"/>
    <col min="13834" max="13834" width="24.54296875" customWidth="1"/>
    <col min="13835" max="14080" width="9.453125"/>
    <col min="14081" max="14081" width="17.54296875" customWidth="1"/>
    <col min="14082" max="14082" width="15.54296875" customWidth="1"/>
    <col min="14083" max="14083" width="9.54296875" customWidth="1"/>
    <col min="14084" max="14084" width="12.54296875" customWidth="1"/>
    <col min="14085" max="14085" width="31.453125" customWidth="1"/>
    <col min="14086" max="14089" width="9.453125"/>
    <col min="14090" max="14090" width="24.54296875" customWidth="1"/>
    <col min="14091" max="14336" width="9.453125"/>
    <col min="14337" max="14337" width="17.54296875" customWidth="1"/>
    <col min="14338" max="14338" width="15.54296875" customWidth="1"/>
    <col min="14339" max="14339" width="9.54296875" customWidth="1"/>
    <col min="14340" max="14340" width="12.54296875" customWidth="1"/>
    <col min="14341" max="14341" width="31.453125" customWidth="1"/>
    <col min="14342" max="14345" width="9.453125"/>
    <col min="14346" max="14346" width="24.54296875" customWidth="1"/>
    <col min="14347" max="14592" width="9.453125"/>
    <col min="14593" max="14593" width="17.54296875" customWidth="1"/>
    <col min="14594" max="14594" width="15.54296875" customWidth="1"/>
    <col min="14595" max="14595" width="9.54296875" customWidth="1"/>
    <col min="14596" max="14596" width="12.54296875" customWidth="1"/>
    <col min="14597" max="14597" width="31.453125" customWidth="1"/>
    <col min="14598" max="14601" width="9.453125"/>
    <col min="14602" max="14602" width="24.54296875" customWidth="1"/>
    <col min="14603" max="14848" width="9.453125"/>
    <col min="14849" max="14849" width="17.54296875" customWidth="1"/>
    <col min="14850" max="14850" width="15.54296875" customWidth="1"/>
    <col min="14851" max="14851" width="9.54296875" customWidth="1"/>
    <col min="14852" max="14852" width="12.54296875" customWidth="1"/>
    <col min="14853" max="14853" width="31.453125" customWidth="1"/>
    <col min="14854" max="14857" width="9.453125"/>
    <col min="14858" max="14858" width="24.54296875" customWidth="1"/>
    <col min="14859" max="15104" width="9.453125"/>
    <col min="15105" max="15105" width="17.54296875" customWidth="1"/>
    <col min="15106" max="15106" width="15.54296875" customWidth="1"/>
    <col min="15107" max="15107" width="9.54296875" customWidth="1"/>
    <col min="15108" max="15108" width="12.54296875" customWidth="1"/>
    <col min="15109" max="15109" width="31.453125" customWidth="1"/>
    <col min="15110" max="15113" width="9.453125"/>
    <col min="15114" max="15114" width="24.54296875" customWidth="1"/>
    <col min="15115" max="15360" width="9.453125"/>
    <col min="15361" max="15361" width="17.54296875" customWidth="1"/>
    <col min="15362" max="15362" width="15.54296875" customWidth="1"/>
    <col min="15363" max="15363" width="9.54296875" customWidth="1"/>
    <col min="15364" max="15364" width="12.54296875" customWidth="1"/>
    <col min="15365" max="15365" width="31.453125" customWidth="1"/>
    <col min="15366" max="15369" width="9.453125"/>
    <col min="15370" max="15370" width="24.54296875" customWidth="1"/>
    <col min="15371" max="15616" width="9.453125"/>
    <col min="15617" max="15617" width="17.54296875" customWidth="1"/>
    <col min="15618" max="15618" width="15.54296875" customWidth="1"/>
    <col min="15619" max="15619" width="9.54296875" customWidth="1"/>
    <col min="15620" max="15620" width="12.54296875" customWidth="1"/>
    <col min="15621" max="15621" width="31.453125" customWidth="1"/>
    <col min="15622" max="15625" width="9.453125"/>
    <col min="15626" max="15626" width="24.54296875" customWidth="1"/>
    <col min="15627" max="15872" width="9.453125"/>
    <col min="15873" max="15873" width="17.54296875" customWidth="1"/>
    <col min="15874" max="15874" width="15.54296875" customWidth="1"/>
    <col min="15875" max="15875" width="9.54296875" customWidth="1"/>
    <col min="15876" max="15876" width="12.54296875" customWidth="1"/>
    <col min="15877" max="15877" width="31.453125" customWidth="1"/>
    <col min="15878" max="15881" width="9.453125"/>
    <col min="15882" max="15882" width="24.54296875" customWidth="1"/>
    <col min="15883" max="16128" width="9.453125"/>
    <col min="16129" max="16129" width="17.54296875" customWidth="1"/>
    <col min="16130" max="16130" width="15.54296875" customWidth="1"/>
    <col min="16131" max="16131" width="9.54296875" customWidth="1"/>
    <col min="16132" max="16132" width="12.54296875" customWidth="1"/>
    <col min="16133" max="16133" width="31.453125" customWidth="1"/>
    <col min="16134" max="16137" width="9.453125"/>
    <col min="16138" max="16138" width="24.54296875" customWidth="1"/>
    <col min="16139" max="16384" width="9.453125"/>
  </cols>
  <sheetData>
    <row r="1" spans="1:10" s="190" customFormat="1" ht="69.75" customHeight="1" x14ac:dyDescent="0.35">
      <c r="A1" s="312"/>
      <c r="B1" s="312"/>
      <c r="C1" s="312"/>
      <c r="D1" s="312"/>
      <c r="E1" s="312"/>
      <c r="F1" s="312"/>
      <c r="G1" s="312"/>
      <c r="H1" s="312"/>
      <c r="I1" s="312"/>
      <c r="J1" s="312"/>
    </row>
    <row r="2" spans="1:10" s="190" customFormat="1" ht="18.75" customHeight="1" x14ac:dyDescent="0.35">
      <c r="A2" s="322" t="s">
        <v>246</v>
      </c>
      <c r="B2" s="323"/>
      <c r="C2" s="323"/>
      <c r="D2" s="323"/>
      <c r="E2" s="323"/>
      <c r="F2" s="323"/>
      <c r="G2" s="323"/>
      <c r="H2" s="323"/>
      <c r="I2" s="323"/>
      <c r="J2" s="324"/>
    </row>
    <row r="3" spans="1:10" s="190" customFormat="1" x14ac:dyDescent="0.35">
      <c r="A3" s="325" t="s">
        <v>234</v>
      </c>
      <c r="B3" s="325"/>
      <c r="C3" s="325"/>
      <c r="D3" s="325"/>
      <c r="E3" s="325"/>
      <c r="F3" s="326" t="s">
        <v>235</v>
      </c>
      <c r="G3" s="326"/>
      <c r="H3" s="326"/>
      <c r="I3" s="326"/>
      <c r="J3" s="326"/>
    </row>
    <row r="4" spans="1:10" ht="30" customHeight="1" x14ac:dyDescent="0.35">
      <c r="A4" s="318" t="s">
        <v>247</v>
      </c>
      <c r="B4" s="319"/>
      <c r="C4" s="319"/>
      <c r="D4" s="319"/>
      <c r="E4" s="320"/>
      <c r="F4" s="317"/>
      <c r="G4" s="302"/>
      <c r="H4" s="302"/>
      <c r="I4" s="302"/>
      <c r="J4" s="302"/>
    </row>
    <row r="5" spans="1:10" ht="30" customHeight="1" x14ac:dyDescent="0.35">
      <c r="A5" s="318" t="s">
        <v>248</v>
      </c>
      <c r="B5" s="319"/>
      <c r="C5" s="319"/>
      <c r="D5" s="319"/>
      <c r="E5" s="320"/>
      <c r="F5" s="321"/>
      <c r="G5" s="305"/>
      <c r="H5" s="305"/>
      <c r="I5" s="305"/>
      <c r="J5" s="306"/>
    </row>
    <row r="6" spans="1:10" ht="30" customHeight="1" x14ac:dyDescent="0.35">
      <c r="A6" s="315" t="s">
        <v>249</v>
      </c>
      <c r="B6" s="315"/>
      <c r="C6" s="315"/>
      <c r="D6" s="315"/>
      <c r="E6" s="315"/>
      <c r="F6" s="303"/>
      <c r="G6" s="302"/>
      <c r="H6" s="302"/>
      <c r="I6" s="302"/>
      <c r="J6" s="302"/>
    </row>
    <row r="7" spans="1:10" ht="30" customHeight="1" x14ac:dyDescent="0.35">
      <c r="A7" s="315" t="s">
        <v>250</v>
      </c>
      <c r="B7" s="315"/>
      <c r="C7" s="315"/>
      <c r="D7" s="315"/>
      <c r="E7" s="315"/>
      <c r="F7" s="302"/>
      <c r="G7" s="302"/>
      <c r="H7" s="302"/>
      <c r="I7" s="302"/>
      <c r="J7" s="302"/>
    </row>
    <row r="8" spans="1:10" ht="30" customHeight="1" x14ac:dyDescent="0.35">
      <c r="A8" s="315" t="s">
        <v>251</v>
      </c>
      <c r="B8" s="315"/>
      <c r="C8" s="315"/>
      <c r="D8" s="315"/>
      <c r="E8" s="315"/>
      <c r="F8" s="302"/>
      <c r="G8" s="302"/>
      <c r="H8" s="302"/>
      <c r="I8" s="302"/>
      <c r="J8" s="302"/>
    </row>
    <row r="9" spans="1:10" ht="30" customHeight="1" x14ac:dyDescent="0.35">
      <c r="A9" s="315" t="s">
        <v>252</v>
      </c>
      <c r="B9" s="315"/>
      <c r="C9" s="315"/>
      <c r="D9" s="315"/>
      <c r="E9" s="315"/>
      <c r="F9" s="303"/>
      <c r="G9" s="302"/>
      <c r="H9" s="302"/>
      <c r="I9" s="302"/>
      <c r="J9" s="302"/>
    </row>
    <row r="10" spans="1:10" ht="30" customHeight="1" x14ac:dyDescent="0.35">
      <c r="A10" s="315" t="s">
        <v>253</v>
      </c>
      <c r="B10" s="315"/>
      <c r="C10" s="315"/>
      <c r="D10" s="315"/>
      <c r="E10" s="315"/>
      <c r="F10" s="303"/>
      <c r="G10" s="302"/>
      <c r="H10" s="302"/>
      <c r="I10" s="302"/>
      <c r="J10" s="302"/>
    </row>
    <row r="11" spans="1:10" ht="30" customHeight="1" x14ac:dyDescent="0.35">
      <c r="A11" s="315" t="s">
        <v>254</v>
      </c>
      <c r="B11" s="315"/>
      <c r="C11" s="315"/>
      <c r="D11" s="315"/>
      <c r="E11" s="315"/>
      <c r="F11" s="302"/>
      <c r="G11" s="302"/>
      <c r="H11" s="302"/>
      <c r="I11" s="302"/>
      <c r="J11" s="302"/>
    </row>
    <row r="12" spans="1:10" ht="30" customHeight="1" x14ac:dyDescent="0.35">
      <c r="A12" s="315" t="s">
        <v>255</v>
      </c>
      <c r="B12" s="315"/>
      <c r="C12" s="315"/>
      <c r="D12" s="315"/>
      <c r="E12" s="315"/>
      <c r="F12" s="302"/>
      <c r="G12" s="302"/>
      <c r="H12" s="302"/>
      <c r="I12" s="302"/>
      <c r="J12" s="302"/>
    </row>
    <row r="13" spans="1:10" ht="30" customHeight="1" x14ac:dyDescent="0.35">
      <c r="A13" s="315" t="s">
        <v>256</v>
      </c>
      <c r="B13" s="315"/>
      <c r="C13" s="315"/>
      <c r="D13" s="315"/>
      <c r="E13" s="315"/>
      <c r="F13" s="302"/>
      <c r="G13" s="302"/>
      <c r="H13" s="302"/>
      <c r="I13" s="302"/>
      <c r="J13" s="302"/>
    </row>
    <row r="14" spans="1:10" ht="30" customHeight="1" x14ac:dyDescent="0.35">
      <c r="A14" s="315" t="s">
        <v>257</v>
      </c>
      <c r="B14" s="315"/>
      <c r="C14" s="315"/>
      <c r="D14" s="315"/>
      <c r="E14" s="315"/>
      <c r="F14" s="302"/>
      <c r="G14" s="302"/>
      <c r="H14" s="302"/>
      <c r="I14" s="302"/>
      <c r="J14" s="302"/>
    </row>
    <row r="15" spans="1:10" ht="30" customHeight="1" x14ac:dyDescent="0.35">
      <c r="A15" s="315" t="s">
        <v>258</v>
      </c>
      <c r="B15" s="315"/>
      <c r="C15" s="315"/>
      <c r="D15" s="315"/>
      <c r="E15" s="315"/>
      <c r="F15" s="303"/>
      <c r="G15" s="302"/>
      <c r="H15" s="302"/>
      <c r="I15" s="302"/>
      <c r="J15" s="302"/>
    </row>
    <row r="16" spans="1:10" ht="30" customHeight="1" x14ac:dyDescent="0.35">
      <c r="A16" s="315" t="s">
        <v>259</v>
      </c>
      <c r="B16" s="315"/>
      <c r="C16" s="315"/>
      <c r="D16" s="315"/>
      <c r="E16" s="315"/>
      <c r="F16" s="317"/>
      <c r="G16" s="302"/>
      <c r="H16" s="302"/>
      <c r="I16" s="302"/>
      <c r="J16" s="302"/>
    </row>
    <row r="17" spans="1:10" ht="30" customHeight="1" x14ac:dyDescent="0.35">
      <c r="A17" s="315" t="s">
        <v>260</v>
      </c>
      <c r="B17" s="315"/>
      <c r="C17" s="315"/>
      <c r="D17" s="315"/>
      <c r="E17" s="315"/>
      <c r="F17" s="316"/>
      <c r="G17" s="302"/>
      <c r="H17" s="302"/>
      <c r="I17" s="302"/>
      <c r="J17" s="302"/>
    </row>
    <row r="18" spans="1:10" ht="30" customHeight="1" x14ac:dyDescent="0.35">
      <c r="A18" s="315" t="s">
        <v>261</v>
      </c>
      <c r="B18" s="315"/>
      <c r="C18" s="315"/>
      <c r="D18" s="315"/>
      <c r="E18" s="315"/>
      <c r="F18" s="316"/>
      <c r="G18" s="302"/>
      <c r="H18" s="302"/>
      <c r="I18" s="302"/>
      <c r="J18" s="302"/>
    </row>
  </sheetData>
  <mergeCells count="34">
    <mergeCell ref="A1:J1"/>
    <mergeCell ref="A2:J2"/>
    <mergeCell ref="A3:E3"/>
    <mergeCell ref="F3:J3"/>
    <mergeCell ref="A4:E4"/>
    <mergeCell ref="F4:J4"/>
    <mergeCell ref="A5:E5"/>
    <mergeCell ref="F5:J5"/>
    <mergeCell ref="A6:E6"/>
    <mergeCell ref="F6:J6"/>
    <mergeCell ref="A7:E7"/>
    <mergeCell ref="F7:J7"/>
    <mergeCell ref="A8:E8"/>
    <mergeCell ref="F8:J8"/>
    <mergeCell ref="A9:E9"/>
    <mergeCell ref="F9:J9"/>
    <mergeCell ref="A10:E10"/>
    <mergeCell ref="F10:J10"/>
    <mergeCell ref="A11:E11"/>
    <mergeCell ref="F11:J11"/>
    <mergeCell ref="A12:E12"/>
    <mergeCell ref="F12:J12"/>
    <mergeCell ref="A13:E13"/>
    <mergeCell ref="F13:J13"/>
    <mergeCell ref="A18:E18"/>
    <mergeCell ref="F18:J18"/>
    <mergeCell ref="A17:E17"/>
    <mergeCell ref="F17:J17"/>
    <mergeCell ref="A14:E14"/>
    <mergeCell ref="F14:J14"/>
    <mergeCell ref="A15:E15"/>
    <mergeCell ref="F15:J15"/>
    <mergeCell ref="A16:E16"/>
    <mergeCell ref="F16:J1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5057" r:id="rId4" name="Check Box 1">
              <controlPr defaultSize="0" autoFill="0" autoLine="0" autoPict="0">
                <anchor moveWithCells="1">
                  <from>
                    <xdr:col>5</xdr:col>
                    <xdr:colOff>107950</xdr:colOff>
                    <xdr:row>17</xdr:row>
                    <xdr:rowOff>38100</xdr:rowOff>
                  </from>
                  <to>
                    <xdr:col>6</xdr:col>
                    <xdr:colOff>0</xdr:colOff>
                    <xdr:row>18</xdr:row>
                    <xdr:rowOff>31750</xdr:rowOff>
                  </to>
                </anchor>
              </controlPr>
            </control>
          </mc:Choice>
        </mc:AlternateContent>
        <mc:AlternateContent xmlns:mc="http://schemas.openxmlformats.org/markup-compatibility/2006">
          <mc:Choice Requires="x14">
            <control shapeId="45058" r:id="rId5" name="Check Box 2">
              <controlPr defaultSize="0" autoFill="0" autoLine="0" autoPict="0">
                <anchor moveWithCells="1">
                  <from>
                    <xdr:col>6</xdr:col>
                    <xdr:colOff>114300</xdr:colOff>
                    <xdr:row>17</xdr:row>
                    <xdr:rowOff>76200</xdr:rowOff>
                  </from>
                  <to>
                    <xdr:col>7</xdr:col>
                    <xdr:colOff>38100</xdr:colOff>
                    <xdr:row>17</xdr:row>
                    <xdr:rowOff>374650</xdr:rowOff>
                  </to>
                </anchor>
              </controlPr>
            </control>
          </mc:Choice>
        </mc:AlternateContent>
        <mc:AlternateContent xmlns:mc="http://schemas.openxmlformats.org/markup-compatibility/2006">
          <mc:Choice Requires="x14">
            <control shapeId="45059" r:id="rId6" name="Check Box 3">
              <controlPr defaultSize="0" autoFill="0" autoLine="0" autoPict="0">
                <anchor moveWithCells="1">
                  <from>
                    <xdr:col>7</xdr:col>
                    <xdr:colOff>184150</xdr:colOff>
                    <xdr:row>17</xdr:row>
                    <xdr:rowOff>76200</xdr:rowOff>
                  </from>
                  <to>
                    <xdr:col>8</xdr:col>
                    <xdr:colOff>114300</xdr:colOff>
                    <xdr:row>18</xdr:row>
                    <xdr:rowOff>0</xdr:rowOff>
                  </to>
                </anchor>
              </controlPr>
            </control>
          </mc:Choice>
        </mc:AlternateContent>
        <mc:AlternateContent xmlns:mc="http://schemas.openxmlformats.org/markup-compatibility/2006">
          <mc:Choice Requires="x14">
            <control shapeId="45060" r:id="rId7" name="Check Box 4">
              <controlPr defaultSize="0" autoFill="0" autoLine="0" autoPict="0">
                <anchor moveWithCells="1">
                  <from>
                    <xdr:col>8</xdr:col>
                    <xdr:colOff>203200</xdr:colOff>
                    <xdr:row>17</xdr:row>
                    <xdr:rowOff>69850</xdr:rowOff>
                  </from>
                  <to>
                    <xdr:col>9</xdr:col>
                    <xdr:colOff>31750</xdr:colOff>
                    <xdr:row>18</xdr:row>
                    <xdr:rowOff>12700</xdr:rowOff>
                  </to>
                </anchor>
              </controlPr>
            </control>
          </mc:Choice>
        </mc:AlternateContent>
        <mc:AlternateContent xmlns:mc="http://schemas.openxmlformats.org/markup-compatibility/2006">
          <mc:Choice Requires="x14">
            <control shapeId="45061" r:id="rId8" name="Check Box 5">
              <controlPr defaultSize="0" autoFill="0" autoLine="0" autoPict="0">
                <anchor moveWithCells="1">
                  <from>
                    <xdr:col>9</xdr:col>
                    <xdr:colOff>222250</xdr:colOff>
                    <xdr:row>17</xdr:row>
                    <xdr:rowOff>127000</xdr:rowOff>
                  </from>
                  <to>
                    <xdr:col>9</xdr:col>
                    <xdr:colOff>717550</xdr:colOff>
                    <xdr:row>17</xdr:row>
                    <xdr:rowOff>317500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15"/>
  <dimension ref="A1:J18"/>
  <sheetViews>
    <sheetView showGridLines="0" workbookViewId="0">
      <selection activeCell="H23" sqref="H23"/>
    </sheetView>
  </sheetViews>
  <sheetFormatPr defaultRowHeight="14.5" x14ac:dyDescent="0.35"/>
  <cols>
    <col min="1" max="1" width="17.54296875" customWidth="1"/>
    <col min="2" max="2" width="15.54296875" customWidth="1"/>
    <col min="3" max="3" width="9.54296875" customWidth="1"/>
    <col min="4" max="4" width="12.54296875" customWidth="1"/>
    <col min="5" max="5" width="31.453125" customWidth="1"/>
    <col min="6" max="9" width="9.453125"/>
    <col min="10" max="10" width="24.54296875" customWidth="1"/>
    <col min="11" max="256" width="9.453125"/>
    <col min="257" max="257" width="17.54296875" customWidth="1"/>
    <col min="258" max="258" width="15.54296875" customWidth="1"/>
    <col min="259" max="259" width="9.54296875" customWidth="1"/>
    <col min="260" max="260" width="12.54296875" customWidth="1"/>
    <col min="261" max="261" width="31.453125" customWidth="1"/>
    <col min="262" max="265" width="9.453125"/>
    <col min="266" max="266" width="24.54296875" customWidth="1"/>
    <col min="267" max="512" width="9.453125"/>
    <col min="513" max="513" width="17.54296875" customWidth="1"/>
    <col min="514" max="514" width="15.54296875" customWidth="1"/>
    <col min="515" max="515" width="9.54296875" customWidth="1"/>
    <col min="516" max="516" width="12.54296875" customWidth="1"/>
    <col min="517" max="517" width="31.453125" customWidth="1"/>
    <col min="518" max="521" width="9.453125"/>
    <col min="522" max="522" width="24.54296875" customWidth="1"/>
    <col min="523" max="768" width="9.453125"/>
    <col min="769" max="769" width="17.54296875" customWidth="1"/>
    <col min="770" max="770" width="15.54296875" customWidth="1"/>
    <col min="771" max="771" width="9.54296875" customWidth="1"/>
    <col min="772" max="772" width="12.54296875" customWidth="1"/>
    <col min="773" max="773" width="31.453125" customWidth="1"/>
    <col min="774" max="777" width="9.453125"/>
    <col min="778" max="778" width="24.54296875" customWidth="1"/>
    <col min="779" max="1024" width="9.453125"/>
    <col min="1025" max="1025" width="17.54296875" customWidth="1"/>
    <col min="1026" max="1026" width="15.54296875" customWidth="1"/>
    <col min="1027" max="1027" width="9.54296875" customWidth="1"/>
    <col min="1028" max="1028" width="12.54296875" customWidth="1"/>
    <col min="1029" max="1029" width="31.453125" customWidth="1"/>
    <col min="1030" max="1033" width="9.453125"/>
    <col min="1034" max="1034" width="24.54296875" customWidth="1"/>
    <col min="1035" max="1280" width="9.453125"/>
    <col min="1281" max="1281" width="17.54296875" customWidth="1"/>
    <col min="1282" max="1282" width="15.54296875" customWidth="1"/>
    <col min="1283" max="1283" width="9.54296875" customWidth="1"/>
    <col min="1284" max="1284" width="12.54296875" customWidth="1"/>
    <col min="1285" max="1285" width="31.453125" customWidth="1"/>
    <col min="1286" max="1289" width="9.453125"/>
    <col min="1290" max="1290" width="24.54296875" customWidth="1"/>
    <col min="1291" max="1536" width="9.453125"/>
    <col min="1537" max="1537" width="17.54296875" customWidth="1"/>
    <col min="1538" max="1538" width="15.54296875" customWidth="1"/>
    <col min="1539" max="1539" width="9.54296875" customWidth="1"/>
    <col min="1540" max="1540" width="12.54296875" customWidth="1"/>
    <col min="1541" max="1541" width="31.453125" customWidth="1"/>
    <col min="1542" max="1545" width="9.453125"/>
    <col min="1546" max="1546" width="24.54296875" customWidth="1"/>
    <col min="1547" max="1792" width="9.453125"/>
    <col min="1793" max="1793" width="17.54296875" customWidth="1"/>
    <col min="1794" max="1794" width="15.54296875" customWidth="1"/>
    <col min="1795" max="1795" width="9.54296875" customWidth="1"/>
    <col min="1796" max="1796" width="12.54296875" customWidth="1"/>
    <col min="1797" max="1797" width="31.453125" customWidth="1"/>
    <col min="1798" max="1801" width="9.453125"/>
    <col min="1802" max="1802" width="24.54296875" customWidth="1"/>
    <col min="1803" max="2048" width="9.453125"/>
    <col min="2049" max="2049" width="17.54296875" customWidth="1"/>
    <col min="2050" max="2050" width="15.54296875" customWidth="1"/>
    <col min="2051" max="2051" width="9.54296875" customWidth="1"/>
    <col min="2052" max="2052" width="12.54296875" customWidth="1"/>
    <col min="2053" max="2053" width="31.453125" customWidth="1"/>
    <col min="2054" max="2057" width="9.453125"/>
    <col min="2058" max="2058" width="24.54296875" customWidth="1"/>
    <col min="2059" max="2304" width="9.453125"/>
    <col min="2305" max="2305" width="17.54296875" customWidth="1"/>
    <col min="2306" max="2306" width="15.54296875" customWidth="1"/>
    <col min="2307" max="2307" width="9.54296875" customWidth="1"/>
    <col min="2308" max="2308" width="12.54296875" customWidth="1"/>
    <col min="2309" max="2309" width="31.453125" customWidth="1"/>
    <col min="2310" max="2313" width="9.453125"/>
    <col min="2314" max="2314" width="24.54296875" customWidth="1"/>
    <col min="2315" max="2560" width="9.453125"/>
    <col min="2561" max="2561" width="17.54296875" customWidth="1"/>
    <col min="2562" max="2562" width="15.54296875" customWidth="1"/>
    <col min="2563" max="2563" width="9.54296875" customWidth="1"/>
    <col min="2564" max="2564" width="12.54296875" customWidth="1"/>
    <col min="2565" max="2565" width="31.453125" customWidth="1"/>
    <col min="2566" max="2569" width="9.453125"/>
    <col min="2570" max="2570" width="24.54296875" customWidth="1"/>
    <col min="2571" max="2816" width="9.453125"/>
    <col min="2817" max="2817" width="17.54296875" customWidth="1"/>
    <col min="2818" max="2818" width="15.54296875" customWidth="1"/>
    <col min="2819" max="2819" width="9.54296875" customWidth="1"/>
    <col min="2820" max="2820" width="12.54296875" customWidth="1"/>
    <col min="2821" max="2821" width="31.453125" customWidth="1"/>
    <col min="2822" max="2825" width="9.453125"/>
    <col min="2826" max="2826" width="24.54296875" customWidth="1"/>
    <col min="2827" max="3072" width="9.453125"/>
    <col min="3073" max="3073" width="17.54296875" customWidth="1"/>
    <col min="3074" max="3074" width="15.54296875" customWidth="1"/>
    <col min="3075" max="3075" width="9.54296875" customWidth="1"/>
    <col min="3076" max="3076" width="12.54296875" customWidth="1"/>
    <col min="3077" max="3077" width="31.453125" customWidth="1"/>
    <col min="3078" max="3081" width="9.453125"/>
    <col min="3082" max="3082" width="24.54296875" customWidth="1"/>
    <col min="3083" max="3328" width="9.453125"/>
    <col min="3329" max="3329" width="17.54296875" customWidth="1"/>
    <col min="3330" max="3330" width="15.54296875" customWidth="1"/>
    <col min="3331" max="3331" width="9.54296875" customWidth="1"/>
    <col min="3332" max="3332" width="12.54296875" customWidth="1"/>
    <col min="3333" max="3333" width="31.453125" customWidth="1"/>
    <col min="3334" max="3337" width="9.453125"/>
    <col min="3338" max="3338" width="24.54296875" customWidth="1"/>
    <col min="3339" max="3584" width="9.453125"/>
    <col min="3585" max="3585" width="17.54296875" customWidth="1"/>
    <col min="3586" max="3586" width="15.54296875" customWidth="1"/>
    <col min="3587" max="3587" width="9.54296875" customWidth="1"/>
    <col min="3588" max="3588" width="12.54296875" customWidth="1"/>
    <col min="3589" max="3589" width="31.453125" customWidth="1"/>
    <col min="3590" max="3593" width="9.453125"/>
    <col min="3594" max="3594" width="24.54296875" customWidth="1"/>
    <col min="3595" max="3840" width="9.453125"/>
    <col min="3841" max="3841" width="17.54296875" customWidth="1"/>
    <col min="3842" max="3842" width="15.54296875" customWidth="1"/>
    <col min="3843" max="3843" width="9.54296875" customWidth="1"/>
    <col min="3844" max="3844" width="12.54296875" customWidth="1"/>
    <col min="3845" max="3845" width="31.453125" customWidth="1"/>
    <col min="3846" max="3849" width="9.453125"/>
    <col min="3850" max="3850" width="24.54296875" customWidth="1"/>
    <col min="3851" max="4096" width="9.453125"/>
    <col min="4097" max="4097" width="17.54296875" customWidth="1"/>
    <col min="4098" max="4098" width="15.54296875" customWidth="1"/>
    <col min="4099" max="4099" width="9.54296875" customWidth="1"/>
    <col min="4100" max="4100" width="12.54296875" customWidth="1"/>
    <col min="4101" max="4101" width="31.453125" customWidth="1"/>
    <col min="4102" max="4105" width="9.453125"/>
    <col min="4106" max="4106" width="24.54296875" customWidth="1"/>
    <col min="4107" max="4352" width="9.453125"/>
    <col min="4353" max="4353" width="17.54296875" customWidth="1"/>
    <col min="4354" max="4354" width="15.54296875" customWidth="1"/>
    <col min="4355" max="4355" width="9.54296875" customWidth="1"/>
    <col min="4356" max="4356" width="12.54296875" customWidth="1"/>
    <col min="4357" max="4357" width="31.453125" customWidth="1"/>
    <col min="4358" max="4361" width="9.453125"/>
    <col min="4362" max="4362" width="24.54296875" customWidth="1"/>
    <col min="4363" max="4608" width="9.453125"/>
    <col min="4609" max="4609" width="17.54296875" customWidth="1"/>
    <col min="4610" max="4610" width="15.54296875" customWidth="1"/>
    <col min="4611" max="4611" width="9.54296875" customWidth="1"/>
    <col min="4612" max="4612" width="12.54296875" customWidth="1"/>
    <col min="4613" max="4613" width="31.453125" customWidth="1"/>
    <col min="4614" max="4617" width="9.453125"/>
    <col min="4618" max="4618" width="24.54296875" customWidth="1"/>
    <col min="4619" max="4864" width="9.453125"/>
    <col min="4865" max="4865" width="17.54296875" customWidth="1"/>
    <col min="4866" max="4866" width="15.54296875" customWidth="1"/>
    <col min="4867" max="4867" width="9.54296875" customWidth="1"/>
    <col min="4868" max="4868" width="12.54296875" customWidth="1"/>
    <col min="4869" max="4869" width="31.453125" customWidth="1"/>
    <col min="4870" max="4873" width="9.453125"/>
    <col min="4874" max="4874" width="24.54296875" customWidth="1"/>
    <col min="4875" max="5120" width="9.453125"/>
    <col min="5121" max="5121" width="17.54296875" customWidth="1"/>
    <col min="5122" max="5122" width="15.54296875" customWidth="1"/>
    <col min="5123" max="5123" width="9.54296875" customWidth="1"/>
    <col min="5124" max="5124" width="12.54296875" customWidth="1"/>
    <col min="5125" max="5125" width="31.453125" customWidth="1"/>
    <col min="5126" max="5129" width="9.453125"/>
    <col min="5130" max="5130" width="24.54296875" customWidth="1"/>
    <col min="5131" max="5376" width="9.453125"/>
    <col min="5377" max="5377" width="17.54296875" customWidth="1"/>
    <col min="5378" max="5378" width="15.54296875" customWidth="1"/>
    <col min="5379" max="5379" width="9.54296875" customWidth="1"/>
    <col min="5380" max="5380" width="12.54296875" customWidth="1"/>
    <col min="5381" max="5381" width="31.453125" customWidth="1"/>
    <col min="5382" max="5385" width="9.453125"/>
    <col min="5386" max="5386" width="24.54296875" customWidth="1"/>
    <col min="5387" max="5632" width="9.453125"/>
    <col min="5633" max="5633" width="17.54296875" customWidth="1"/>
    <col min="5634" max="5634" width="15.54296875" customWidth="1"/>
    <col min="5635" max="5635" width="9.54296875" customWidth="1"/>
    <col min="5636" max="5636" width="12.54296875" customWidth="1"/>
    <col min="5637" max="5637" width="31.453125" customWidth="1"/>
    <col min="5638" max="5641" width="9.453125"/>
    <col min="5642" max="5642" width="24.54296875" customWidth="1"/>
    <col min="5643" max="5888" width="9.453125"/>
    <col min="5889" max="5889" width="17.54296875" customWidth="1"/>
    <col min="5890" max="5890" width="15.54296875" customWidth="1"/>
    <col min="5891" max="5891" width="9.54296875" customWidth="1"/>
    <col min="5892" max="5892" width="12.54296875" customWidth="1"/>
    <col min="5893" max="5893" width="31.453125" customWidth="1"/>
    <col min="5894" max="5897" width="9.453125"/>
    <col min="5898" max="5898" width="24.54296875" customWidth="1"/>
    <col min="5899" max="6144" width="9.453125"/>
    <col min="6145" max="6145" width="17.54296875" customWidth="1"/>
    <col min="6146" max="6146" width="15.54296875" customWidth="1"/>
    <col min="6147" max="6147" width="9.54296875" customWidth="1"/>
    <col min="6148" max="6148" width="12.54296875" customWidth="1"/>
    <col min="6149" max="6149" width="31.453125" customWidth="1"/>
    <col min="6150" max="6153" width="9.453125"/>
    <col min="6154" max="6154" width="24.54296875" customWidth="1"/>
    <col min="6155" max="6400" width="9.453125"/>
    <col min="6401" max="6401" width="17.54296875" customWidth="1"/>
    <col min="6402" max="6402" width="15.54296875" customWidth="1"/>
    <col min="6403" max="6403" width="9.54296875" customWidth="1"/>
    <col min="6404" max="6404" width="12.54296875" customWidth="1"/>
    <col min="6405" max="6405" width="31.453125" customWidth="1"/>
    <col min="6406" max="6409" width="9.453125"/>
    <col min="6410" max="6410" width="24.54296875" customWidth="1"/>
    <col min="6411" max="6656" width="9.453125"/>
    <col min="6657" max="6657" width="17.54296875" customWidth="1"/>
    <col min="6658" max="6658" width="15.54296875" customWidth="1"/>
    <col min="6659" max="6659" width="9.54296875" customWidth="1"/>
    <col min="6660" max="6660" width="12.54296875" customWidth="1"/>
    <col min="6661" max="6661" width="31.453125" customWidth="1"/>
    <col min="6662" max="6665" width="9.453125"/>
    <col min="6666" max="6666" width="24.54296875" customWidth="1"/>
    <col min="6667" max="6912" width="9.453125"/>
    <col min="6913" max="6913" width="17.54296875" customWidth="1"/>
    <col min="6914" max="6914" width="15.54296875" customWidth="1"/>
    <col min="6915" max="6915" width="9.54296875" customWidth="1"/>
    <col min="6916" max="6916" width="12.54296875" customWidth="1"/>
    <col min="6917" max="6917" width="31.453125" customWidth="1"/>
    <col min="6918" max="6921" width="9.453125"/>
    <col min="6922" max="6922" width="24.54296875" customWidth="1"/>
    <col min="6923" max="7168" width="9.453125"/>
    <col min="7169" max="7169" width="17.54296875" customWidth="1"/>
    <col min="7170" max="7170" width="15.54296875" customWidth="1"/>
    <col min="7171" max="7171" width="9.54296875" customWidth="1"/>
    <col min="7172" max="7172" width="12.54296875" customWidth="1"/>
    <col min="7173" max="7173" width="31.453125" customWidth="1"/>
    <col min="7174" max="7177" width="9.453125"/>
    <col min="7178" max="7178" width="24.54296875" customWidth="1"/>
    <col min="7179" max="7424" width="9.453125"/>
    <col min="7425" max="7425" width="17.54296875" customWidth="1"/>
    <col min="7426" max="7426" width="15.54296875" customWidth="1"/>
    <col min="7427" max="7427" width="9.54296875" customWidth="1"/>
    <col min="7428" max="7428" width="12.54296875" customWidth="1"/>
    <col min="7429" max="7429" width="31.453125" customWidth="1"/>
    <col min="7430" max="7433" width="9.453125"/>
    <col min="7434" max="7434" width="24.54296875" customWidth="1"/>
    <col min="7435" max="7680" width="9.453125"/>
    <col min="7681" max="7681" width="17.54296875" customWidth="1"/>
    <col min="7682" max="7682" width="15.54296875" customWidth="1"/>
    <col min="7683" max="7683" width="9.54296875" customWidth="1"/>
    <col min="7684" max="7684" width="12.54296875" customWidth="1"/>
    <col min="7685" max="7685" width="31.453125" customWidth="1"/>
    <col min="7686" max="7689" width="9.453125"/>
    <col min="7690" max="7690" width="24.54296875" customWidth="1"/>
    <col min="7691" max="7936" width="9.453125"/>
    <col min="7937" max="7937" width="17.54296875" customWidth="1"/>
    <col min="7938" max="7938" width="15.54296875" customWidth="1"/>
    <col min="7939" max="7939" width="9.54296875" customWidth="1"/>
    <col min="7940" max="7940" width="12.54296875" customWidth="1"/>
    <col min="7941" max="7941" width="31.453125" customWidth="1"/>
    <col min="7942" max="7945" width="9.453125"/>
    <col min="7946" max="7946" width="24.54296875" customWidth="1"/>
    <col min="7947" max="8192" width="9.453125"/>
    <col min="8193" max="8193" width="17.54296875" customWidth="1"/>
    <col min="8194" max="8194" width="15.54296875" customWidth="1"/>
    <col min="8195" max="8195" width="9.54296875" customWidth="1"/>
    <col min="8196" max="8196" width="12.54296875" customWidth="1"/>
    <col min="8197" max="8197" width="31.453125" customWidth="1"/>
    <col min="8198" max="8201" width="9.453125"/>
    <col min="8202" max="8202" width="24.54296875" customWidth="1"/>
    <col min="8203" max="8448" width="9.453125"/>
    <col min="8449" max="8449" width="17.54296875" customWidth="1"/>
    <col min="8450" max="8450" width="15.54296875" customWidth="1"/>
    <col min="8451" max="8451" width="9.54296875" customWidth="1"/>
    <col min="8452" max="8452" width="12.54296875" customWidth="1"/>
    <col min="8453" max="8453" width="31.453125" customWidth="1"/>
    <col min="8454" max="8457" width="9.453125"/>
    <col min="8458" max="8458" width="24.54296875" customWidth="1"/>
    <col min="8459" max="8704" width="9.453125"/>
    <col min="8705" max="8705" width="17.54296875" customWidth="1"/>
    <col min="8706" max="8706" width="15.54296875" customWidth="1"/>
    <col min="8707" max="8707" width="9.54296875" customWidth="1"/>
    <col min="8708" max="8708" width="12.54296875" customWidth="1"/>
    <col min="8709" max="8709" width="31.453125" customWidth="1"/>
    <col min="8710" max="8713" width="9.453125"/>
    <col min="8714" max="8714" width="24.54296875" customWidth="1"/>
    <col min="8715" max="8960" width="9.453125"/>
    <col min="8961" max="8961" width="17.54296875" customWidth="1"/>
    <col min="8962" max="8962" width="15.54296875" customWidth="1"/>
    <col min="8963" max="8963" width="9.54296875" customWidth="1"/>
    <col min="8964" max="8964" width="12.54296875" customWidth="1"/>
    <col min="8965" max="8965" width="31.453125" customWidth="1"/>
    <col min="8966" max="8969" width="9.453125"/>
    <col min="8970" max="8970" width="24.54296875" customWidth="1"/>
    <col min="8971" max="9216" width="9.453125"/>
    <col min="9217" max="9217" width="17.54296875" customWidth="1"/>
    <col min="9218" max="9218" width="15.54296875" customWidth="1"/>
    <col min="9219" max="9219" width="9.54296875" customWidth="1"/>
    <col min="9220" max="9220" width="12.54296875" customWidth="1"/>
    <col min="9221" max="9221" width="31.453125" customWidth="1"/>
    <col min="9222" max="9225" width="9.453125"/>
    <col min="9226" max="9226" width="24.54296875" customWidth="1"/>
    <col min="9227" max="9472" width="9.453125"/>
    <col min="9473" max="9473" width="17.54296875" customWidth="1"/>
    <col min="9474" max="9474" width="15.54296875" customWidth="1"/>
    <col min="9475" max="9475" width="9.54296875" customWidth="1"/>
    <col min="9476" max="9476" width="12.54296875" customWidth="1"/>
    <col min="9477" max="9477" width="31.453125" customWidth="1"/>
    <col min="9478" max="9481" width="9.453125"/>
    <col min="9482" max="9482" width="24.54296875" customWidth="1"/>
    <col min="9483" max="9728" width="9.453125"/>
    <col min="9729" max="9729" width="17.54296875" customWidth="1"/>
    <col min="9730" max="9730" width="15.54296875" customWidth="1"/>
    <col min="9731" max="9731" width="9.54296875" customWidth="1"/>
    <col min="9732" max="9732" width="12.54296875" customWidth="1"/>
    <col min="9733" max="9733" width="31.453125" customWidth="1"/>
    <col min="9734" max="9737" width="9.453125"/>
    <col min="9738" max="9738" width="24.54296875" customWidth="1"/>
    <col min="9739" max="9984" width="9.453125"/>
    <col min="9985" max="9985" width="17.54296875" customWidth="1"/>
    <col min="9986" max="9986" width="15.54296875" customWidth="1"/>
    <col min="9987" max="9987" width="9.54296875" customWidth="1"/>
    <col min="9988" max="9988" width="12.54296875" customWidth="1"/>
    <col min="9989" max="9989" width="31.453125" customWidth="1"/>
    <col min="9990" max="9993" width="9.453125"/>
    <col min="9994" max="9994" width="24.54296875" customWidth="1"/>
    <col min="9995" max="10240" width="9.453125"/>
    <col min="10241" max="10241" width="17.54296875" customWidth="1"/>
    <col min="10242" max="10242" width="15.54296875" customWidth="1"/>
    <col min="10243" max="10243" width="9.54296875" customWidth="1"/>
    <col min="10244" max="10244" width="12.54296875" customWidth="1"/>
    <col min="10245" max="10245" width="31.453125" customWidth="1"/>
    <col min="10246" max="10249" width="9.453125"/>
    <col min="10250" max="10250" width="24.54296875" customWidth="1"/>
    <col min="10251" max="10496" width="9.453125"/>
    <col min="10497" max="10497" width="17.54296875" customWidth="1"/>
    <col min="10498" max="10498" width="15.54296875" customWidth="1"/>
    <col min="10499" max="10499" width="9.54296875" customWidth="1"/>
    <col min="10500" max="10500" width="12.54296875" customWidth="1"/>
    <col min="10501" max="10501" width="31.453125" customWidth="1"/>
    <col min="10502" max="10505" width="9.453125"/>
    <col min="10506" max="10506" width="24.54296875" customWidth="1"/>
    <col min="10507" max="10752" width="9.453125"/>
    <col min="10753" max="10753" width="17.54296875" customWidth="1"/>
    <col min="10754" max="10754" width="15.54296875" customWidth="1"/>
    <col min="10755" max="10755" width="9.54296875" customWidth="1"/>
    <col min="10756" max="10756" width="12.54296875" customWidth="1"/>
    <col min="10757" max="10757" width="31.453125" customWidth="1"/>
    <col min="10758" max="10761" width="9.453125"/>
    <col min="10762" max="10762" width="24.54296875" customWidth="1"/>
    <col min="10763" max="11008" width="9.453125"/>
    <col min="11009" max="11009" width="17.54296875" customWidth="1"/>
    <col min="11010" max="11010" width="15.54296875" customWidth="1"/>
    <col min="11011" max="11011" width="9.54296875" customWidth="1"/>
    <col min="11012" max="11012" width="12.54296875" customWidth="1"/>
    <col min="11013" max="11013" width="31.453125" customWidth="1"/>
    <col min="11014" max="11017" width="9.453125"/>
    <col min="11018" max="11018" width="24.54296875" customWidth="1"/>
    <col min="11019" max="11264" width="9.453125"/>
    <col min="11265" max="11265" width="17.54296875" customWidth="1"/>
    <col min="11266" max="11266" width="15.54296875" customWidth="1"/>
    <col min="11267" max="11267" width="9.54296875" customWidth="1"/>
    <col min="11268" max="11268" width="12.54296875" customWidth="1"/>
    <col min="11269" max="11269" width="31.453125" customWidth="1"/>
    <col min="11270" max="11273" width="9.453125"/>
    <col min="11274" max="11274" width="24.54296875" customWidth="1"/>
    <col min="11275" max="11520" width="9.453125"/>
    <col min="11521" max="11521" width="17.54296875" customWidth="1"/>
    <col min="11522" max="11522" width="15.54296875" customWidth="1"/>
    <col min="11523" max="11523" width="9.54296875" customWidth="1"/>
    <col min="11524" max="11524" width="12.54296875" customWidth="1"/>
    <col min="11525" max="11525" width="31.453125" customWidth="1"/>
    <col min="11526" max="11529" width="9.453125"/>
    <col min="11530" max="11530" width="24.54296875" customWidth="1"/>
    <col min="11531" max="11776" width="9.453125"/>
    <col min="11777" max="11777" width="17.54296875" customWidth="1"/>
    <col min="11778" max="11778" width="15.54296875" customWidth="1"/>
    <col min="11779" max="11779" width="9.54296875" customWidth="1"/>
    <col min="11780" max="11780" width="12.54296875" customWidth="1"/>
    <col min="11781" max="11781" width="31.453125" customWidth="1"/>
    <col min="11782" max="11785" width="9.453125"/>
    <col min="11786" max="11786" width="24.54296875" customWidth="1"/>
    <col min="11787" max="12032" width="9.453125"/>
    <col min="12033" max="12033" width="17.54296875" customWidth="1"/>
    <col min="12034" max="12034" width="15.54296875" customWidth="1"/>
    <col min="12035" max="12035" width="9.54296875" customWidth="1"/>
    <col min="12036" max="12036" width="12.54296875" customWidth="1"/>
    <col min="12037" max="12037" width="31.453125" customWidth="1"/>
    <col min="12038" max="12041" width="9.453125"/>
    <col min="12042" max="12042" width="24.54296875" customWidth="1"/>
    <col min="12043" max="12288" width="9.453125"/>
    <col min="12289" max="12289" width="17.54296875" customWidth="1"/>
    <col min="12290" max="12290" width="15.54296875" customWidth="1"/>
    <col min="12291" max="12291" width="9.54296875" customWidth="1"/>
    <col min="12292" max="12292" width="12.54296875" customWidth="1"/>
    <col min="12293" max="12293" width="31.453125" customWidth="1"/>
    <col min="12294" max="12297" width="9.453125"/>
    <col min="12298" max="12298" width="24.54296875" customWidth="1"/>
    <col min="12299" max="12544" width="9.453125"/>
    <col min="12545" max="12545" width="17.54296875" customWidth="1"/>
    <col min="12546" max="12546" width="15.54296875" customWidth="1"/>
    <col min="12547" max="12547" width="9.54296875" customWidth="1"/>
    <col min="12548" max="12548" width="12.54296875" customWidth="1"/>
    <col min="12549" max="12549" width="31.453125" customWidth="1"/>
    <col min="12550" max="12553" width="9.453125"/>
    <col min="12554" max="12554" width="24.54296875" customWidth="1"/>
    <col min="12555" max="12800" width="9.453125"/>
    <col min="12801" max="12801" width="17.54296875" customWidth="1"/>
    <col min="12802" max="12802" width="15.54296875" customWidth="1"/>
    <col min="12803" max="12803" width="9.54296875" customWidth="1"/>
    <col min="12804" max="12804" width="12.54296875" customWidth="1"/>
    <col min="12805" max="12805" width="31.453125" customWidth="1"/>
    <col min="12806" max="12809" width="9.453125"/>
    <col min="12810" max="12810" width="24.54296875" customWidth="1"/>
    <col min="12811" max="13056" width="9.453125"/>
    <col min="13057" max="13057" width="17.54296875" customWidth="1"/>
    <col min="13058" max="13058" width="15.54296875" customWidth="1"/>
    <col min="13059" max="13059" width="9.54296875" customWidth="1"/>
    <col min="13060" max="13060" width="12.54296875" customWidth="1"/>
    <col min="13061" max="13061" width="31.453125" customWidth="1"/>
    <col min="13062" max="13065" width="9.453125"/>
    <col min="13066" max="13066" width="24.54296875" customWidth="1"/>
    <col min="13067" max="13312" width="9.453125"/>
    <col min="13313" max="13313" width="17.54296875" customWidth="1"/>
    <col min="13314" max="13314" width="15.54296875" customWidth="1"/>
    <col min="13315" max="13315" width="9.54296875" customWidth="1"/>
    <col min="13316" max="13316" width="12.54296875" customWidth="1"/>
    <col min="13317" max="13317" width="31.453125" customWidth="1"/>
    <col min="13318" max="13321" width="9.453125"/>
    <col min="13322" max="13322" width="24.54296875" customWidth="1"/>
    <col min="13323" max="13568" width="9.453125"/>
    <col min="13569" max="13569" width="17.54296875" customWidth="1"/>
    <col min="13570" max="13570" width="15.54296875" customWidth="1"/>
    <col min="13571" max="13571" width="9.54296875" customWidth="1"/>
    <col min="13572" max="13572" width="12.54296875" customWidth="1"/>
    <col min="13573" max="13573" width="31.453125" customWidth="1"/>
    <col min="13574" max="13577" width="9.453125"/>
    <col min="13578" max="13578" width="24.54296875" customWidth="1"/>
    <col min="13579" max="13824" width="9.453125"/>
    <col min="13825" max="13825" width="17.54296875" customWidth="1"/>
    <col min="13826" max="13826" width="15.54296875" customWidth="1"/>
    <col min="13827" max="13827" width="9.54296875" customWidth="1"/>
    <col min="13828" max="13828" width="12.54296875" customWidth="1"/>
    <col min="13829" max="13829" width="31.453125" customWidth="1"/>
    <col min="13830" max="13833" width="9.453125"/>
    <col min="13834" max="13834" width="24.54296875" customWidth="1"/>
    <col min="13835" max="14080" width="9.453125"/>
    <col min="14081" max="14081" width="17.54296875" customWidth="1"/>
    <col min="14082" max="14082" width="15.54296875" customWidth="1"/>
    <col min="14083" max="14083" width="9.54296875" customWidth="1"/>
    <col min="14084" max="14084" width="12.54296875" customWidth="1"/>
    <col min="14085" max="14085" width="31.453125" customWidth="1"/>
    <col min="14086" max="14089" width="9.453125"/>
    <col min="14090" max="14090" width="24.54296875" customWidth="1"/>
    <col min="14091" max="14336" width="9.453125"/>
    <col min="14337" max="14337" width="17.54296875" customWidth="1"/>
    <col min="14338" max="14338" width="15.54296875" customWidth="1"/>
    <col min="14339" max="14339" width="9.54296875" customWidth="1"/>
    <col min="14340" max="14340" width="12.54296875" customWidth="1"/>
    <col min="14341" max="14341" width="31.453125" customWidth="1"/>
    <col min="14342" max="14345" width="9.453125"/>
    <col min="14346" max="14346" width="24.54296875" customWidth="1"/>
    <col min="14347" max="14592" width="9.453125"/>
    <col min="14593" max="14593" width="17.54296875" customWidth="1"/>
    <col min="14594" max="14594" width="15.54296875" customWidth="1"/>
    <col min="14595" max="14595" width="9.54296875" customWidth="1"/>
    <col min="14596" max="14596" width="12.54296875" customWidth="1"/>
    <col min="14597" max="14597" width="31.453125" customWidth="1"/>
    <col min="14598" max="14601" width="9.453125"/>
    <col min="14602" max="14602" width="24.54296875" customWidth="1"/>
    <col min="14603" max="14848" width="9.453125"/>
    <col min="14849" max="14849" width="17.54296875" customWidth="1"/>
    <col min="14850" max="14850" width="15.54296875" customWidth="1"/>
    <col min="14851" max="14851" width="9.54296875" customWidth="1"/>
    <col min="14852" max="14852" width="12.54296875" customWidth="1"/>
    <col min="14853" max="14853" width="31.453125" customWidth="1"/>
    <col min="14854" max="14857" width="9.453125"/>
    <col min="14858" max="14858" width="24.54296875" customWidth="1"/>
    <col min="14859" max="15104" width="9.453125"/>
    <col min="15105" max="15105" width="17.54296875" customWidth="1"/>
    <col min="15106" max="15106" width="15.54296875" customWidth="1"/>
    <col min="15107" max="15107" width="9.54296875" customWidth="1"/>
    <col min="15108" max="15108" width="12.54296875" customWidth="1"/>
    <col min="15109" max="15109" width="31.453125" customWidth="1"/>
    <col min="15110" max="15113" width="9.453125"/>
    <col min="15114" max="15114" width="24.54296875" customWidth="1"/>
    <col min="15115" max="15360" width="9.453125"/>
    <col min="15361" max="15361" width="17.54296875" customWidth="1"/>
    <col min="15362" max="15362" width="15.54296875" customWidth="1"/>
    <col min="15363" max="15363" width="9.54296875" customWidth="1"/>
    <col min="15364" max="15364" width="12.54296875" customWidth="1"/>
    <col min="15365" max="15365" width="31.453125" customWidth="1"/>
    <col min="15366" max="15369" width="9.453125"/>
    <col min="15370" max="15370" width="24.54296875" customWidth="1"/>
    <col min="15371" max="15616" width="9.453125"/>
    <col min="15617" max="15617" width="17.54296875" customWidth="1"/>
    <col min="15618" max="15618" width="15.54296875" customWidth="1"/>
    <col min="15619" max="15619" width="9.54296875" customWidth="1"/>
    <col min="15620" max="15620" width="12.54296875" customWidth="1"/>
    <col min="15621" max="15621" width="31.453125" customWidth="1"/>
    <col min="15622" max="15625" width="9.453125"/>
    <col min="15626" max="15626" width="24.54296875" customWidth="1"/>
    <col min="15627" max="15872" width="9.453125"/>
    <col min="15873" max="15873" width="17.54296875" customWidth="1"/>
    <col min="15874" max="15874" width="15.54296875" customWidth="1"/>
    <col min="15875" max="15875" width="9.54296875" customWidth="1"/>
    <col min="15876" max="15876" width="12.54296875" customWidth="1"/>
    <col min="15877" max="15877" width="31.453125" customWidth="1"/>
    <col min="15878" max="15881" width="9.453125"/>
    <col min="15882" max="15882" width="24.54296875" customWidth="1"/>
    <col min="15883" max="16128" width="9.453125"/>
    <col min="16129" max="16129" width="17.54296875" customWidth="1"/>
    <col min="16130" max="16130" width="15.54296875" customWidth="1"/>
    <col min="16131" max="16131" width="9.54296875" customWidth="1"/>
    <col min="16132" max="16132" width="12.54296875" customWidth="1"/>
    <col min="16133" max="16133" width="31.453125" customWidth="1"/>
    <col min="16134" max="16137" width="9.453125"/>
    <col min="16138" max="16138" width="24.54296875" customWidth="1"/>
    <col min="16139" max="16384" width="9.453125"/>
  </cols>
  <sheetData>
    <row r="1" spans="1:10" s="190" customFormat="1" ht="69.75" customHeight="1" x14ac:dyDescent="0.35">
      <c r="A1" s="312"/>
      <c r="B1" s="312"/>
      <c r="C1" s="312"/>
      <c r="D1" s="312"/>
      <c r="E1" s="312"/>
      <c r="F1" s="312"/>
      <c r="G1" s="312"/>
      <c r="H1" s="312"/>
      <c r="I1" s="312"/>
      <c r="J1" s="312"/>
    </row>
    <row r="2" spans="1:10" s="190" customFormat="1" ht="18.75" customHeight="1" x14ac:dyDescent="0.35">
      <c r="A2" s="322" t="s">
        <v>262</v>
      </c>
      <c r="B2" s="323"/>
      <c r="C2" s="323"/>
      <c r="D2" s="323"/>
      <c r="E2" s="323"/>
      <c r="F2" s="323"/>
      <c r="G2" s="323"/>
      <c r="H2" s="323"/>
      <c r="I2" s="323"/>
      <c r="J2" s="324"/>
    </row>
    <row r="3" spans="1:10" s="190" customFormat="1" x14ac:dyDescent="0.35">
      <c r="A3" s="325" t="s">
        <v>234</v>
      </c>
      <c r="B3" s="325"/>
      <c r="C3" s="325"/>
      <c r="D3" s="325"/>
      <c r="E3" s="325"/>
      <c r="F3" s="326" t="s">
        <v>235</v>
      </c>
      <c r="G3" s="326"/>
      <c r="H3" s="326"/>
      <c r="I3" s="326"/>
      <c r="J3" s="326"/>
    </row>
    <row r="4" spans="1:10" ht="30" customHeight="1" x14ac:dyDescent="0.35">
      <c r="A4" s="318" t="s">
        <v>263</v>
      </c>
      <c r="B4" s="319"/>
      <c r="C4" s="319"/>
      <c r="D4" s="319"/>
      <c r="E4" s="320"/>
      <c r="F4" s="317"/>
      <c r="G4" s="302"/>
      <c r="H4" s="302"/>
      <c r="I4" s="302"/>
      <c r="J4" s="302"/>
    </row>
    <row r="5" spans="1:10" ht="30" customHeight="1" x14ac:dyDescent="0.35">
      <c r="A5" s="318" t="s">
        <v>264</v>
      </c>
      <c r="B5" s="319"/>
      <c r="C5" s="319"/>
      <c r="D5" s="319"/>
      <c r="E5" s="320"/>
      <c r="F5" s="321"/>
      <c r="G5" s="305"/>
      <c r="H5" s="305"/>
      <c r="I5" s="305"/>
      <c r="J5" s="306"/>
    </row>
    <row r="6" spans="1:10" ht="30" customHeight="1" x14ac:dyDescent="0.35">
      <c r="A6" s="315" t="s">
        <v>265</v>
      </c>
      <c r="B6" s="315"/>
      <c r="C6" s="315"/>
      <c r="D6" s="315"/>
      <c r="E6" s="315"/>
      <c r="F6" s="303"/>
      <c r="G6" s="302"/>
      <c r="H6" s="302"/>
      <c r="I6" s="302"/>
      <c r="J6" s="302"/>
    </row>
    <row r="7" spans="1:10" ht="30" customHeight="1" x14ac:dyDescent="0.35">
      <c r="A7" s="315" t="s">
        <v>266</v>
      </c>
      <c r="B7" s="315"/>
      <c r="C7" s="315"/>
      <c r="D7" s="315"/>
      <c r="E7" s="315"/>
      <c r="F7" s="302"/>
      <c r="G7" s="302"/>
      <c r="H7" s="302"/>
      <c r="I7" s="302"/>
      <c r="J7" s="302"/>
    </row>
    <row r="8" spans="1:10" ht="30" customHeight="1" x14ac:dyDescent="0.35">
      <c r="A8" s="315" t="s">
        <v>267</v>
      </c>
      <c r="B8" s="315"/>
      <c r="C8" s="315"/>
      <c r="D8" s="315"/>
      <c r="E8" s="315"/>
      <c r="F8" s="302"/>
      <c r="G8" s="302"/>
      <c r="H8" s="302"/>
      <c r="I8" s="302"/>
      <c r="J8" s="302"/>
    </row>
    <row r="9" spans="1:10" ht="30" customHeight="1" x14ac:dyDescent="0.35">
      <c r="A9" s="315" t="s">
        <v>268</v>
      </c>
      <c r="B9" s="315"/>
      <c r="C9" s="315"/>
      <c r="D9" s="315"/>
      <c r="E9" s="315"/>
      <c r="F9" s="303"/>
      <c r="G9" s="302"/>
      <c r="H9" s="302"/>
      <c r="I9" s="302"/>
      <c r="J9" s="302"/>
    </row>
    <row r="10" spans="1:10" ht="30" customHeight="1" x14ac:dyDescent="0.35">
      <c r="A10" s="315" t="s">
        <v>269</v>
      </c>
      <c r="B10" s="315"/>
      <c r="C10" s="315"/>
      <c r="D10" s="315"/>
      <c r="E10" s="315"/>
      <c r="F10" s="303"/>
      <c r="G10" s="302"/>
      <c r="H10" s="302"/>
      <c r="I10" s="302"/>
      <c r="J10" s="302"/>
    </row>
    <row r="11" spans="1:10" ht="30" customHeight="1" x14ac:dyDescent="0.35">
      <c r="A11" s="315" t="s">
        <v>270</v>
      </c>
      <c r="B11" s="315"/>
      <c r="C11" s="315"/>
      <c r="D11" s="315"/>
      <c r="E11" s="315"/>
      <c r="F11" s="302"/>
      <c r="G11" s="302"/>
      <c r="H11" s="302"/>
      <c r="I11" s="302"/>
      <c r="J11" s="302"/>
    </row>
    <row r="12" spans="1:10" ht="30" customHeight="1" x14ac:dyDescent="0.35">
      <c r="A12" s="315" t="s">
        <v>271</v>
      </c>
      <c r="B12" s="315"/>
      <c r="C12" s="315"/>
      <c r="D12" s="315"/>
      <c r="E12" s="315"/>
      <c r="F12" s="302"/>
      <c r="G12" s="302"/>
      <c r="H12" s="302"/>
      <c r="I12" s="302"/>
      <c r="J12" s="302"/>
    </row>
    <row r="13" spans="1:10" ht="30" customHeight="1" x14ac:dyDescent="0.35">
      <c r="A13" s="315" t="s">
        <v>272</v>
      </c>
      <c r="B13" s="315"/>
      <c r="C13" s="315"/>
      <c r="D13" s="315"/>
      <c r="E13" s="315"/>
      <c r="F13" s="302"/>
      <c r="G13" s="302"/>
      <c r="H13" s="302"/>
      <c r="I13" s="302"/>
      <c r="J13" s="302"/>
    </row>
    <row r="14" spans="1:10" ht="30" customHeight="1" x14ac:dyDescent="0.35">
      <c r="A14" s="315" t="s">
        <v>273</v>
      </c>
      <c r="B14" s="315"/>
      <c r="C14" s="315"/>
      <c r="D14" s="315"/>
      <c r="E14" s="315"/>
      <c r="F14" s="302"/>
      <c r="G14" s="302"/>
      <c r="H14" s="302"/>
      <c r="I14" s="302"/>
      <c r="J14" s="302"/>
    </row>
    <row r="15" spans="1:10" ht="30" customHeight="1" x14ac:dyDescent="0.35">
      <c r="A15" s="315" t="s">
        <v>274</v>
      </c>
      <c r="B15" s="315"/>
      <c r="C15" s="315"/>
      <c r="D15" s="315"/>
      <c r="E15" s="315"/>
      <c r="F15" s="303"/>
      <c r="G15" s="302"/>
      <c r="H15" s="302"/>
      <c r="I15" s="302"/>
      <c r="J15" s="302"/>
    </row>
    <row r="16" spans="1:10" ht="30" customHeight="1" x14ac:dyDescent="0.35">
      <c r="A16" s="315" t="s">
        <v>275</v>
      </c>
      <c r="B16" s="315"/>
      <c r="C16" s="315"/>
      <c r="D16" s="315"/>
      <c r="E16" s="315"/>
      <c r="F16" s="317"/>
      <c r="G16" s="302"/>
      <c r="H16" s="302"/>
      <c r="I16" s="302"/>
      <c r="J16" s="302"/>
    </row>
    <row r="17" spans="1:10" ht="30" customHeight="1" x14ac:dyDescent="0.35">
      <c r="A17" s="315" t="s">
        <v>260</v>
      </c>
      <c r="B17" s="315"/>
      <c r="C17" s="315"/>
      <c r="D17" s="315"/>
      <c r="E17" s="315"/>
      <c r="F17" s="316"/>
      <c r="G17" s="302"/>
      <c r="H17" s="302"/>
      <c r="I17" s="302"/>
      <c r="J17" s="302"/>
    </row>
    <row r="18" spans="1:10" ht="30" customHeight="1" x14ac:dyDescent="0.35">
      <c r="A18" s="315" t="s">
        <v>261</v>
      </c>
      <c r="B18" s="315"/>
      <c r="C18" s="315"/>
      <c r="D18" s="315"/>
      <c r="E18" s="315"/>
      <c r="F18" s="316"/>
      <c r="G18" s="302"/>
      <c r="H18" s="302"/>
      <c r="I18" s="302"/>
      <c r="J18" s="302"/>
    </row>
  </sheetData>
  <mergeCells count="34">
    <mergeCell ref="A1:J1"/>
    <mergeCell ref="A2:J2"/>
    <mergeCell ref="A3:E3"/>
    <mergeCell ref="F3:J3"/>
    <mergeCell ref="A4:E4"/>
    <mergeCell ref="F4:J4"/>
    <mergeCell ref="A5:E5"/>
    <mergeCell ref="F5:J5"/>
    <mergeCell ref="A6:E6"/>
    <mergeCell ref="F6:J6"/>
    <mergeCell ref="A7:E7"/>
    <mergeCell ref="F7:J7"/>
    <mergeCell ref="A8:E8"/>
    <mergeCell ref="F8:J8"/>
    <mergeCell ref="A9:E9"/>
    <mergeCell ref="F9:J9"/>
    <mergeCell ref="A10:E10"/>
    <mergeCell ref="F10:J10"/>
    <mergeCell ref="A11:E11"/>
    <mergeCell ref="F11:J11"/>
    <mergeCell ref="A12:E12"/>
    <mergeCell ref="F12:J12"/>
    <mergeCell ref="A13:E13"/>
    <mergeCell ref="F13:J13"/>
    <mergeCell ref="A17:E17"/>
    <mergeCell ref="F17:J17"/>
    <mergeCell ref="A18:E18"/>
    <mergeCell ref="F18:J18"/>
    <mergeCell ref="A14:E14"/>
    <mergeCell ref="F14:J14"/>
    <mergeCell ref="A15:E15"/>
    <mergeCell ref="F15:J15"/>
    <mergeCell ref="A16:E16"/>
    <mergeCell ref="F16:J1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6081" r:id="rId4" name="Check Box 1">
              <controlPr defaultSize="0" autoFill="0" autoLine="0" autoPict="0">
                <anchor moveWithCells="1">
                  <from>
                    <xdr:col>5</xdr:col>
                    <xdr:colOff>107950</xdr:colOff>
                    <xdr:row>17</xdr:row>
                    <xdr:rowOff>69850</xdr:rowOff>
                  </from>
                  <to>
                    <xdr:col>6</xdr:col>
                    <xdr:colOff>0</xdr:colOff>
                    <xdr:row>17</xdr:row>
                    <xdr:rowOff>228600</xdr:rowOff>
                  </to>
                </anchor>
              </controlPr>
            </control>
          </mc:Choice>
        </mc:AlternateContent>
        <mc:AlternateContent xmlns:mc="http://schemas.openxmlformats.org/markup-compatibility/2006">
          <mc:Choice Requires="x14">
            <control shapeId="46082" r:id="rId5" name="Check Box 2">
              <controlPr defaultSize="0" autoFill="0" autoLine="0" autoPict="0">
                <anchor moveWithCells="1">
                  <from>
                    <xdr:col>6</xdr:col>
                    <xdr:colOff>114300</xdr:colOff>
                    <xdr:row>17</xdr:row>
                    <xdr:rowOff>107950</xdr:rowOff>
                  </from>
                  <to>
                    <xdr:col>7</xdr:col>
                    <xdr:colOff>38100</xdr:colOff>
                    <xdr:row>17</xdr:row>
                    <xdr:rowOff>222250</xdr:rowOff>
                  </to>
                </anchor>
              </controlPr>
            </control>
          </mc:Choice>
        </mc:AlternateContent>
        <mc:AlternateContent xmlns:mc="http://schemas.openxmlformats.org/markup-compatibility/2006">
          <mc:Choice Requires="x14">
            <control shapeId="46083" r:id="rId6" name="Check Box 3">
              <controlPr defaultSize="0" autoFill="0" autoLine="0" autoPict="0">
                <anchor moveWithCells="1">
                  <from>
                    <xdr:col>7</xdr:col>
                    <xdr:colOff>184150</xdr:colOff>
                    <xdr:row>17</xdr:row>
                    <xdr:rowOff>107950</xdr:rowOff>
                  </from>
                  <to>
                    <xdr:col>8</xdr:col>
                    <xdr:colOff>114300</xdr:colOff>
                    <xdr:row>17</xdr:row>
                    <xdr:rowOff>222250</xdr:rowOff>
                  </to>
                </anchor>
              </controlPr>
            </control>
          </mc:Choice>
        </mc:AlternateContent>
        <mc:AlternateContent xmlns:mc="http://schemas.openxmlformats.org/markup-compatibility/2006">
          <mc:Choice Requires="x14">
            <control shapeId="46084" r:id="rId7" name="Check Box 4">
              <controlPr defaultSize="0" autoFill="0" autoLine="0" autoPict="0">
                <anchor moveWithCells="1">
                  <from>
                    <xdr:col>8</xdr:col>
                    <xdr:colOff>203200</xdr:colOff>
                    <xdr:row>17</xdr:row>
                    <xdr:rowOff>107950</xdr:rowOff>
                  </from>
                  <to>
                    <xdr:col>9</xdr:col>
                    <xdr:colOff>31750</xdr:colOff>
                    <xdr:row>17</xdr:row>
                    <xdr:rowOff>228600</xdr:rowOff>
                  </to>
                </anchor>
              </controlPr>
            </control>
          </mc:Choice>
        </mc:AlternateContent>
        <mc:AlternateContent xmlns:mc="http://schemas.openxmlformats.org/markup-compatibility/2006">
          <mc:Choice Requires="x14">
            <control shapeId="46085" r:id="rId8" name="Check Box 5">
              <controlPr defaultSize="0" autoFill="0" autoLine="0" autoPict="0">
                <anchor moveWithCells="1">
                  <from>
                    <xdr:col>9</xdr:col>
                    <xdr:colOff>222250</xdr:colOff>
                    <xdr:row>17</xdr:row>
                    <xdr:rowOff>107950</xdr:rowOff>
                  </from>
                  <to>
                    <xdr:col>9</xdr:col>
                    <xdr:colOff>850900</xdr:colOff>
                    <xdr:row>17</xdr:row>
                    <xdr:rowOff>222250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22"/>
  <dimension ref="B3:M44"/>
  <sheetViews>
    <sheetView topLeftCell="A22" zoomScale="110" zoomScaleNormal="110" workbookViewId="0">
      <selection activeCell="G31" sqref="G31:H31"/>
    </sheetView>
  </sheetViews>
  <sheetFormatPr defaultRowHeight="14.5" x14ac:dyDescent="0.35"/>
  <cols>
    <col min="1" max="1" width="9.453125" style="87"/>
    <col min="2" max="2" width="2" style="87" bestFit="1" customWidth="1"/>
    <col min="3" max="3" width="74.453125" style="87" bestFit="1" customWidth="1"/>
    <col min="4" max="4" width="12" style="87" bestFit="1" customWidth="1"/>
    <col min="5" max="5" width="12" style="87" customWidth="1"/>
    <col min="6" max="7" width="17.54296875" style="87" bestFit="1" customWidth="1"/>
    <col min="8" max="8" width="58.54296875" style="87" bestFit="1" customWidth="1"/>
    <col min="9" max="9" width="9.453125" style="87"/>
    <col min="10" max="10" width="9.453125" style="87" customWidth="1"/>
    <col min="11" max="257" width="9.453125" style="87"/>
    <col min="258" max="258" width="2" style="87" bestFit="1" customWidth="1"/>
    <col min="259" max="259" width="74.453125" style="87" bestFit="1" customWidth="1"/>
    <col min="260" max="260" width="5.54296875" style="87" bestFit="1" customWidth="1"/>
    <col min="261" max="261" width="10.54296875" style="87" bestFit="1" customWidth="1"/>
    <col min="262" max="262" width="10" style="87" bestFit="1" customWidth="1"/>
    <col min="263" max="263" width="12.453125" style="87" bestFit="1" customWidth="1"/>
    <col min="264" max="513" width="9.453125" style="87"/>
    <col min="514" max="514" width="2" style="87" bestFit="1" customWidth="1"/>
    <col min="515" max="515" width="74.453125" style="87" bestFit="1" customWidth="1"/>
    <col min="516" max="516" width="5.54296875" style="87" bestFit="1" customWidth="1"/>
    <col min="517" max="517" width="10.54296875" style="87" bestFit="1" customWidth="1"/>
    <col min="518" max="518" width="10" style="87" bestFit="1" customWidth="1"/>
    <col min="519" max="519" width="12.453125" style="87" bestFit="1" customWidth="1"/>
    <col min="520" max="769" width="9.453125" style="87"/>
    <col min="770" max="770" width="2" style="87" bestFit="1" customWidth="1"/>
    <col min="771" max="771" width="74.453125" style="87" bestFit="1" customWidth="1"/>
    <col min="772" max="772" width="5.54296875" style="87" bestFit="1" customWidth="1"/>
    <col min="773" max="773" width="10.54296875" style="87" bestFit="1" customWidth="1"/>
    <col min="774" max="774" width="10" style="87" bestFit="1" customWidth="1"/>
    <col min="775" max="775" width="12.453125" style="87" bestFit="1" customWidth="1"/>
    <col min="776" max="1025" width="9.453125" style="87"/>
    <col min="1026" max="1026" width="2" style="87" bestFit="1" customWidth="1"/>
    <col min="1027" max="1027" width="74.453125" style="87" bestFit="1" customWidth="1"/>
    <col min="1028" max="1028" width="5.54296875" style="87" bestFit="1" customWidth="1"/>
    <col min="1029" max="1029" width="10.54296875" style="87" bestFit="1" customWidth="1"/>
    <col min="1030" max="1030" width="10" style="87" bestFit="1" customWidth="1"/>
    <col min="1031" max="1031" width="12.453125" style="87" bestFit="1" customWidth="1"/>
    <col min="1032" max="1281" width="9.453125" style="87"/>
    <col min="1282" max="1282" width="2" style="87" bestFit="1" customWidth="1"/>
    <col min="1283" max="1283" width="74.453125" style="87" bestFit="1" customWidth="1"/>
    <col min="1284" max="1284" width="5.54296875" style="87" bestFit="1" customWidth="1"/>
    <col min="1285" max="1285" width="10.54296875" style="87" bestFit="1" customWidth="1"/>
    <col min="1286" max="1286" width="10" style="87" bestFit="1" customWidth="1"/>
    <col min="1287" max="1287" width="12.453125" style="87" bestFit="1" customWidth="1"/>
    <col min="1288" max="1537" width="9.453125" style="87"/>
    <col min="1538" max="1538" width="2" style="87" bestFit="1" customWidth="1"/>
    <col min="1539" max="1539" width="74.453125" style="87" bestFit="1" customWidth="1"/>
    <col min="1540" max="1540" width="5.54296875" style="87" bestFit="1" customWidth="1"/>
    <col min="1541" max="1541" width="10.54296875" style="87" bestFit="1" customWidth="1"/>
    <col min="1542" max="1542" width="10" style="87" bestFit="1" customWidth="1"/>
    <col min="1543" max="1543" width="12.453125" style="87" bestFit="1" customWidth="1"/>
    <col min="1544" max="1793" width="9.453125" style="87"/>
    <col min="1794" max="1794" width="2" style="87" bestFit="1" customWidth="1"/>
    <col min="1795" max="1795" width="74.453125" style="87" bestFit="1" customWidth="1"/>
    <col min="1796" max="1796" width="5.54296875" style="87" bestFit="1" customWidth="1"/>
    <col min="1797" max="1797" width="10.54296875" style="87" bestFit="1" customWidth="1"/>
    <col min="1798" max="1798" width="10" style="87" bestFit="1" customWidth="1"/>
    <col min="1799" max="1799" width="12.453125" style="87" bestFit="1" customWidth="1"/>
    <col min="1800" max="2049" width="9.453125" style="87"/>
    <col min="2050" max="2050" width="2" style="87" bestFit="1" customWidth="1"/>
    <col min="2051" max="2051" width="74.453125" style="87" bestFit="1" customWidth="1"/>
    <col min="2052" max="2052" width="5.54296875" style="87" bestFit="1" customWidth="1"/>
    <col min="2053" max="2053" width="10.54296875" style="87" bestFit="1" customWidth="1"/>
    <col min="2054" max="2054" width="10" style="87" bestFit="1" customWidth="1"/>
    <col min="2055" max="2055" width="12.453125" style="87" bestFit="1" customWidth="1"/>
    <col min="2056" max="2305" width="9.453125" style="87"/>
    <col min="2306" max="2306" width="2" style="87" bestFit="1" customWidth="1"/>
    <col min="2307" max="2307" width="74.453125" style="87" bestFit="1" customWidth="1"/>
    <col min="2308" max="2308" width="5.54296875" style="87" bestFit="1" customWidth="1"/>
    <col min="2309" max="2309" width="10.54296875" style="87" bestFit="1" customWidth="1"/>
    <col min="2310" max="2310" width="10" style="87" bestFit="1" customWidth="1"/>
    <col min="2311" max="2311" width="12.453125" style="87" bestFit="1" customWidth="1"/>
    <col min="2312" max="2561" width="9.453125" style="87"/>
    <col min="2562" max="2562" width="2" style="87" bestFit="1" customWidth="1"/>
    <col min="2563" max="2563" width="74.453125" style="87" bestFit="1" customWidth="1"/>
    <col min="2564" max="2564" width="5.54296875" style="87" bestFit="1" customWidth="1"/>
    <col min="2565" max="2565" width="10.54296875" style="87" bestFit="1" customWidth="1"/>
    <col min="2566" max="2566" width="10" style="87" bestFit="1" customWidth="1"/>
    <col min="2567" max="2567" width="12.453125" style="87" bestFit="1" customWidth="1"/>
    <col min="2568" max="2817" width="9.453125" style="87"/>
    <col min="2818" max="2818" width="2" style="87" bestFit="1" customWidth="1"/>
    <col min="2819" max="2819" width="74.453125" style="87" bestFit="1" customWidth="1"/>
    <col min="2820" max="2820" width="5.54296875" style="87" bestFit="1" customWidth="1"/>
    <col min="2821" max="2821" width="10.54296875" style="87" bestFit="1" customWidth="1"/>
    <col min="2822" max="2822" width="10" style="87" bestFit="1" customWidth="1"/>
    <col min="2823" max="2823" width="12.453125" style="87" bestFit="1" customWidth="1"/>
    <col min="2824" max="3073" width="9.453125" style="87"/>
    <col min="3074" max="3074" width="2" style="87" bestFit="1" customWidth="1"/>
    <col min="3075" max="3075" width="74.453125" style="87" bestFit="1" customWidth="1"/>
    <col min="3076" max="3076" width="5.54296875" style="87" bestFit="1" customWidth="1"/>
    <col min="3077" max="3077" width="10.54296875" style="87" bestFit="1" customWidth="1"/>
    <col min="3078" max="3078" width="10" style="87" bestFit="1" customWidth="1"/>
    <col min="3079" max="3079" width="12.453125" style="87" bestFit="1" customWidth="1"/>
    <col min="3080" max="3329" width="9.453125" style="87"/>
    <col min="3330" max="3330" width="2" style="87" bestFit="1" customWidth="1"/>
    <col min="3331" max="3331" width="74.453125" style="87" bestFit="1" customWidth="1"/>
    <col min="3332" max="3332" width="5.54296875" style="87" bestFit="1" customWidth="1"/>
    <col min="3333" max="3333" width="10.54296875" style="87" bestFit="1" customWidth="1"/>
    <col min="3334" max="3334" width="10" style="87" bestFit="1" customWidth="1"/>
    <col min="3335" max="3335" width="12.453125" style="87" bestFit="1" customWidth="1"/>
    <col min="3336" max="3585" width="9.453125" style="87"/>
    <col min="3586" max="3586" width="2" style="87" bestFit="1" customWidth="1"/>
    <col min="3587" max="3587" width="74.453125" style="87" bestFit="1" customWidth="1"/>
    <col min="3588" max="3588" width="5.54296875" style="87" bestFit="1" customWidth="1"/>
    <col min="3589" max="3589" width="10.54296875" style="87" bestFit="1" customWidth="1"/>
    <col min="3590" max="3590" width="10" style="87" bestFit="1" customWidth="1"/>
    <col min="3591" max="3591" width="12.453125" style="87" bestFit="1" customWidth="1"/>
    <col min="3592" max="3841" width="9.453125" style="87"/>
    <col min="3842" max="3842" width="2" style="87" bestFit="1" customWidth="1"/>
    <col min="3843" max="3843" width="74.453125" style="87" bestFit="1" customWidth="1"/>
    <col min="3844" max="3844" width="5.54296875" style="87" bestFit="1" customWidth="1"/>
    <col min="3845" max="3845" width="10.54296875" style="87" bestFit="1" customWidth="1"/>
    <col min="3846" max="3846" width="10" style="87" bestFit="1" customWidth="1"/>
    <col min="3847" max="3847" width="12.453125" style="87" bestFit="1" customWidth="1"/>
    <col min="3848" max="4097" width="9.453125" style="87"/>
    <col min="4098" max="4098" width="2" style="87" bestFit="1" customWidth="1"/>
    <col min="4099" max="4099" width="74.453125" style="87" bestFit="1" customWidth="1"/>
    <col min="4100" max="4100" width="5.54296875" style="87" bestFit="1" customWidth="1"/>
    <col min="4101" max="4101" width="10.54296875" style="87" bestFit="1" customWidth="1"/>
    <col min="4102" max="4102" width="10" style="87" bestFit="1" customWidth="1"/>
    <col min="4103" max="4103" width="12.453125" style="87" bestFit="1" customWidth="1"/>
    <col min="4104" max="4353" width="9.453125" style="87"/>
    <col min="4354" max="4354" width="2" style="87" bestFit="1" customWidth="1"/>
    <col min="4355" max="4355" width="74.453125" style="87" bestFit="1" customWidth="1"/>
    <col min="4356" max="4356" width="5.54296875" style="87" bestFit="1" customWidth="1"/>
    <col min="4357" max="4357" width="10.54296875" style="87" bestFit="1" customWidth="1"/>
    <col min="4358" max="4358" width="10" style="87" bestFit="1" customWidth="1"/>
    <col min="4359" max="4359" width="12.453125" style="87" bestFit="1" customWidth="1"/>
    <col min="4360" max="4609" width="9.453125" style="87"/>
    <col min="4610" max="4610" width="2" style="87" bestFit="1" customWidth="1"/>
    <col min="4611" max="4611" width="74.453125" style="87" bestFit="1" customWidth="1"/>
    <col min="4612" max="4612" width="5.54296875" style="87" bestFit="1" customWidth="1"/>
    <col min="4613" max="4613" width="10.54296875" style="87" bestFit="1" customWidth="1"/>
    <col min="4614" max="4614" width="10" style="87" bestFit="1" customWidth="1"/>
    <col min="4615" max="4615" width="12.453125" style="87" bestFit="1" customWidth="1"/>
    <col min="4616" max="4865" width="9.453125" style="87"/>
    <col min="4866" max="4866" width="2" style="87" bestFit="1" customWidth="1"/>
    <col min="4867" max="4867" width="74.453125" style="87" bestFit="1" customWidth="1"/>
    <col min="4868" max="4868" width="5.54296875" style="87" bestFit="1" customWidth="1"/>
    <col min="4869" max="4869" width="10.54296875" style="87" bestFit="1" customWidth="1"/>
    <col min="4870" max="4870" width="10" style="87" bestFit="1" customWidth="1"/>
    <col min="4871" max="4871" width="12.453125" style="87" bestFit="1" customWidth="1"/>
    <col min="4872" max="5121" width="9.453125" style="87"/>
    <col min="5122" max="5122" width="2" style="87" bestFit="1" customWidth="1"/>
    <col min="5123" max="5123" width="74.453125" style="87" bestFit="1" customWidth="1"/>
    <col min="5124" max="5124" width="5.54296875" style="87" bestFit="1" customWidth="1"/>
    <col min="5125" max="5125" width="10.54296875" style="87" bestFit="1" customWidth="1"/>
    <col min="5126" max="5126" width="10" style="87" bestFit="1" customWidth="1"/>
    <col min="5127" max="5127" width="12.453125" style="87" bestFit="1" customWidth="1"/>
    <col min="5128" max="5377" width="9.453125" style="87"/>
    <col min="5378" max="5378" width="2" style="87" bestFit="1" customWidth="1"/>
    <col min="5379" max="5379" width="74.453125" style="87" bestFit="1" customWidth="1"/>
    <col min="5380" max="5380" width="5.54296875" style="87" bestFit="1" customWidth="1"/>
    <col min="5381" max="5381" width="10.54296875" style="87" bestFit="1" customWidth="1"/>
    <col min="5382" max="5382" width="10" style="87" bestFit="1" customWidth="1"/>
    <col min="5383" max="5383" width="12.453125" style="87" bestFit="1" customWidth="1"/>
    <col min="5384" max="5633" width="9.453125" style="87"/>
    <col min="5634" max="5634" width="2" style="87" bestFit="1" customWidth="1"/>
    <col min="5635" max="5635" width="74.453125" style="87" bestFit="1" customWidth="1"/>
    <col min="5636" max="5636" width="5.54296875" style="87" bestFit="1" customWidth="1"/>
    <col min="5637" max="5637" width="10.54296875" style="87" bestFit="1" customWidth="1"/>
    <col min="5638" max="5638" width="10" style="87" bestFit="1" customWidth="1"/>
    <col min="5639" max="5639" width="12.453125" style="87" bestFit="1" customWidth="1"/>
    <col min="5640" max="5889" width="9.453125" style="87"/>
    <col min="5890" max="5890" width="2" style="87" bestFit="1" customWidth="1"/>
    <col min="5891" max="5891" width="74.453125" style="87" bestFit="1" customWidth="1"/>
    <col min="5892" max="5892" width="5.54296875" style="87" bestFit="1" customWidth="1"/>
    <col min="5893" max="5893" width="10.54296875" style="87" bestFit="1" customWidth="1"/>
    <col min="5894" max="5894" width="10" style="87" bestFit="1" customWidth="1"/>
    <col min="5895" max="5895" width="12.453125" style="87" bestFit="1" customWidth="1"/>
    <col min="5896" max="6145" width="9.453125" style="87"/>
    <col min="6146" max="6146" width="2" style="87" bestFit="1" customWidth="1"/>
    <col min="6147" max="6147" width="74.453125" style="87" bestFit="1" customWidth="1"/>
    <col min="6148" max="6148" width="5.54296875" style="87" bestFit="1" customWidth="1"/>
    <col min="6149" max="6149" width="10.54296875" style="87" bestFit="1" customWidth="1"/>
    <col min="6150" max="6150" width="10" style="87" bestFit="1" customWidth="1"/>
    <col min="6151" max="6151" width="12.453125" style="87" bestFit="1" customWidth="1"/>
    <col min="6152" max="6401" width="9.453125" style="87"/>
    <col min="6402" max="6402" width="2" style="87" bestFit="1" customWidth="1"/>
    <col min="6403" max="6403" width="74.453125" style="87" bestFit="1" customWidth="1"/>
    <col min="6404" max="6404" width="5.54296875" style="87" bestFit="1" customWidth="1"/>
    <col min="6405" max="6405" width="10.54296875" style="87" bestFit="1" customWidth="1"/>
    <col min="6406" max="6406" width="10" style="87" bestFit="1" customWidth="1"/>
    <col min="6407" max="6407" width="12.453125" style="87" bestFit="1" customWidth="1"/>
    <col min="6408" max="6657" width="9.453125" style="87"/>
    <col min="6658" max="6658" width="2" style="87" bestFit="1" customWidth="1"/>
    <col min="6659" max="6659" width="74.453125" style="87" bestFit="1" customWidth="1"/>
    <col min="6660" max="6660" width="5.54296875" style="87" bestFit="1" customWidth="1"/>
    <col min="6661" max="6661" width="10.54296875" style="87" bestFit="1" customWidth="1"/>
    <col min="6662" max="6662" width="10" style="87" bestFit="1" customWidth="1"/>
    <col min="6663" max="6663" width="12.453125" style="87" bestFit="1" customWidth="1"/>
    <col min="6664" max="6913" width="9.453125" style="87"/>
    <col min="6914" max="6914" width="2" style="87" bestFit="1" customWidth="1"/>
    <col min="6915" max="6915" width="74.453125" style="87" bestFit="1" customWidth="1"/>
    <col min="6916" max="6916" width="5.54296875" style="87" bestFit="1" customWidth="1"/>
    <col min="6917" max="6917" width="10.54296875" style="87" bestFit="1" customWidth="1"/>
    <col min="6918" max="6918" width="10" style="87" bestFit="1" customWidth="1"/>
    <col min="6919" max="6919" width="12.453125" style="87" bestFit="1" customWidth="1"/>
    <col min="6920" max="7169" width="9.453125" style="87"/>
    <col min="7170" max="7170" width="2" style="87" bestFit="1" customWidth="1"/>
    <col min="7171" max="7171" width="74.453125" style="87" bestFit="1" customWidth="1"/>
    <col min="7172" max="7172" width="5.54296875" style="87" bestFit="1" customWidth="1"/>
    <col min="7173" max="7173" width="10.54296875" style="87" bestFit="1" customWidth="1"/>
    <col min="7174" max="7174" width="10" style="87" bestFit="1" customWidth="1"/>
    <col min="7175" max="7175" width="12.453125" style="87" bestFit="1" customWidth="1"/>
    <col min="7176" max="7425" width="9.453125" style="87"/>
    <col min="7426" max="7426" width="2" style="87" bestFit="1" customWidth="1"/>
    <col min="7427" max="7427" width="74.453125" style="87" bestFit="1" customWidth="1"/>
    <col min="7428" max="7428" width="5.54296875" style="87" bestFit="1" customWidth="1"/>
    <col min="7429" max="7429" width="10.54296875" style="87" bestFit="1" customWidth="1"/>
    <col min="7430" max="7430" width="10" style="87" bestFit="1" customWidth="1"/>
    <col min="7431" max="7431" width="12.453125" style="87" bestFit="1" customWidth="1"/>
    <col min="7432" max="7681" width="9.453125" style="87"/>
    <col min="7682" max="7682" width="2" style="87" bestFit="1" customWidth="1"/>
    <col min="7683" max="7683" width="74.453125" style="87" bestFit="1" customWidth="1"/>
    <col min="7684" max="7684" width="5.54296875" style="87" bestFit="1" customWidth="1"/>
    <col min="7685" max="7685" width="10.54296875" style="87" bestFit="1" customWidth="1"/>
    <col min="7686" max="7686" width="10" style="87" bestFit="1" customWidth="1"/>
    <col min="7687" max="7687" width="12.453125" style="87" bestFit="1" customWidth="1"/>
    <col min="7688" max="7937" width="9.453125" style="87"/>
    <col min="7938" max="7938" width="2" style="87" bestFit="1" customWidth="1"/>
    <col min="7939" max="7939" width="74.453125" style="87" bestFit="1" customWidth="1"/>
    <col min="7940" max="7940" width="5.54296875" style="87" bestFit="1" customWidth="1"/>
    <col min="7941" max="7941" width="10.54296875" style="87" bestFit="1" customWidth="1"/>
    <col min="7942" max="7942" width="10" style="87" bestFit="1" customWidth="1"/>
    <col min="7943" max="7943" width="12.453125" style="87" bestFit="1" customWidth="1"/>
    <col min="7944" max="8193" width="9.453125" style="87"/>
    <col min="8194" max="8194" width="2" style="87" bestFit="1" customWidth="1"/>
    <col min="8195" max="8195" width="74.453125" style="87" bestFit="1" customWidth="1"/>
    <col min="8196" max="8196" width="5.54296875" style="87" bestFit="1" customWidth="1"/>
    <col min="8197" max="8197" width="10.54296875" style="87" bestFit="1" customWidth="1"/>
    <col min="8198" max="8198" width="10" style="87" bestFit="1" customWidth="1"/>
    <col min="8199" max="8199" width="12.453125" style="87" bestFit="1" customWidth="1"/>
    <col min="8200" max="8449" width="9.453125" style="87"/>
    <col min="8450" max="8450" width="2" style="87" bestFit="1" customWidth="1"/>
    <col min="8451" max="8451" width="74.453125" style="87" bestFit="1" customWidth="1"/>
    <col min="8452" max="8452" width="5.54296875" style="87" bestFit="1" customWidth="1"/>
    <col min="8453" max="8453" width="10.54296875" style="87" bestFit="1" customWidth="1"/>
    <col min="8454" max="8454" width="10" style="87" bestFit="1" customWidth="1"/>
    <col min="8455" max="8455" width="12.453125" style="87" bestFit="1" customWidth="1"/>
    <col min="8456" max="8705" width="9.453125" style="87"/>
    <col min="8706" max="8706" width="2" style="87" bestFit="1" customWidth="1"/>
    <col min="8707" max="8707" width="74.453125" style="87" bestFit="1" customWidth="1"/>
    <col min="8708" max="8708" width="5.54296875" style="87" bestFit="1" customWidth="1"/>
    <col min="8709" max="8709" width="10.54296875" style="87" bestFit="1" customWidth="1"/>
    <col min="8710" max="8710" width="10" style="87" bestFit="1" customWidth="1"/>
    <col min="8711" max="8711" width="12.453125" style="87" bestFit="1" customWidth="1"/>
    <col min="8712" max="8961" width="9.453125" style="87"/>
    <col min="8962" max="8962" width="2" style="87" bestFit="1" customWidth="1"/>
    <col min="8963" max="8963" width="74.453125" style="87" bestFit="1" customWidth="1"/>
    <col min="8964" max="8964" width="5.54296875" style="87" bestFit="1" customWidth="1"/>
    <col min="8965" max="8965" width="10.54296875" style="87" bestFit="1" customWidth="1"/>
    <col min="8966" max="8966" width="10" style="87" bestFit="1" customWidth="1"/>
    <col min="8967" max="8967" width="12.453125" style="87" bestFit="1" customWidth="1"/>
    <col min="8968" max="9217" width="9.453125" style="87"/>
    <col min="9218" max="9218" width="2" style="87" bestFit="1" customWidth="1"/>
    <col min="9219" max="9219" width="74.453125" style="87" bestFit="1" customWidth="1"/>
    <col min="9220" max="9220" width="5.54296875" style="87" bestFit="1" customWidth="1"/>
    <col min="9221" max="9221" width="10.54296875" style="87" bestFit="1" customWidth="1"/>
    <col min="9222" max="9222" width="10" style="87" bestFit="1" customWidth="1"/>
    <col min="9223" max="9223" width="12.453125" style="87" bestFit="1" customWidth="1"/>
    <col min="9224" max="9473" width="9.453125" style="87"/>
    <col min="9474" max="9474" width="2" style="87" bestFit="1" customWidth="1"/>
    <col min="9475" max="9475" width="74.453125" style="87" bestFit="1" customWidth="1"/>
    <col min="9476" max="9476" width="5.54296875" style="87" bestFit="1" customWidth="1"/>
    <col min="9477" max="9477" width="10.54296875" style="87" bestFit="1" customWidth="1"/>
    <col min="9478" max="9478" width="10" style="87" bestFit="1" customWidth="1"/>
    <col min="9479" max="9479" width="12.453125" style="87" bestFit="1" customWidth="1"/>
    <col min="9480" max="9729" width="9.453125" style="87"/>
    <col min="9730" max="9730" width="2" style="87" bestFit="1" customWidth="1"/>
    <col min="9731" max="9731" width="74.453125" style="87" bestFit="1" customWidth="1"/>
    <col min="9732" max="9732" width="5.54296875" style="87" bestFit="1" customWidth="1"/>
    <col min="9733" max="9733" width="10.54296875" style="87" bestFit="1" customWidth="1"/>
    <col min="9734" max="9734" width="10" style="87" bestFit="1" customWidth="1"/>
    <col min="9735" max="9735" width="12.453125" style="87" bestFit="1" customWidth="1"/>
    <col min="9736" max="9985" width="9.453125" style="87"/>
    <col min="9986" max="9986" width="2" style="87" bestFit="1" customWidth="1"/>
    <col min="9987" max="9987" width="74.453125" style="87" bestFit="1" customWidth="1"/>
    <col min="9988" max="9988" width="5.54296875" style="87" bestFit="1" customWidth="1"/>
    <col min="9989" max="9989" width="10.54296875" style="87" bestFit="1" customWidth="1"/>
    <col min="9990" max="9990" width="10" style="87" bestFit="1" customWidth="1"/>
    <col min="9991" max="9991" width="12.453125" style="87" bestFit="1" customWidth="1"/>
    <col min="9992" max="10241" width="9.453125" style="87"/>
    <col min="10242" max="10242" width="2" style="87" bestFit="1" customWidth="1"/>
    <col min="10243" max="10243" width="74.453125" style="87" bestFit="1" customWidth="1"/>
    <col min="10244" max="10244" width="5.54296875" style="87" bestFit="1" customWidth="1"/>
    <col min="10245" max="10245" width="10.54296875" style="87" bestFit="1" customWidth="1"/>
    <col min="10246" max="10246" width="10" style="87" bestFit="1" customWidth="1"/>
    <col min="10247" max="10247" width="12.453125" style="87" bestFit="1" customWidth="1"/>
    <col min="10248" max="10497" width="9.453125" style="87"/>
    <col min="10498" max="10498" width="2" style="87" bestFit="1" customWidth="1"/>
    <col min="10499" max="10499" width="74.453125" style="87" bestFit="1" customWidth="1"/>
    <col min="10500" max="10500" width="5.54296875" style="87" bestFit="1" customWidth="1"/>
    <col min="10501" max="10501" width="10.54296875" style="87" bestFit="1" customWidth="1"/>
    <col min="10502" max="10502" width="10" style="87" bestFit="1" customWidth="1"/>
    <col min="10503" max="10503" width="12.453125" style="87" bestFit="1" customWidth="1"/>
    <col min="10504" max="10753" width="9.453125" style="87"/>
    <col min="10754" max="10754" width="2" style="87" bestFit="1" customWidth="1"/>
    <col min="10755" max="10755" width="74.453125" style="87" bestFit="1" customWidth="1"/>
    <col min="10756" max="10756" width="5.54296875" style="87" bestFit="1" customWidth="1"/>
    <col min="10757" max="10757" width="10.54296875" style="87" bestFit="1" customWidth="1"/>
    <col min="10758" max="10758" width="10" style="87" bestFit="1" customWidth="1"/>
    <col min="10759" max="10759" width="12.453125" style="87" bestFit="1" customWidth="1"/>
    <col min="10760" max="11009" width="9.453125" style="87"/>
    <col min="11010" max="11010" width="2" style="87" bestFit="1" customWidth="1"/>
    <col min="11011" max="11011" width="74.453125" style="87" bestFit="1" customWidth="1"/>
    <col min="11012" max="11012" width="5.54296875" style="87" bestFit="1" customWidth="1"/>
    <col min="11013" max="11013" width="10.54296875" style="87" bestFit="1" customWidth="1"/>
    <col min="11014" max="11014" width="10" style="87" bestFit="1" customWidth="1"/>
    <col min="11015" max="11015" width="12.453125" style="87" bestFit="1" customWidth="1"/>
    <col min="11016" max="11265" width="9.453125" style="87"/>
    <col min="11266" max="11266" width="2" style="87" bestFit="1" customWidth="1"/>
    <col min="11267" max="11267" width="74.453125" style="87" bestFit="1" customWidth="1"/>
    <col min="11268" max="11268" width="5.54296875" style="87" bestFit="1" customWidth="1"/>
    <col min="11269" max="11269" width="10.54296875" style="87" bestFit="1" customWidth="1"/>
    <col min="11270" max="11270" width="10" style="87" bestFit="1" customWidth="1"/>
    <col min="11271" max="11271" width="12.453125" style="87" bestFit="1" customWidth="1"/>
    <col min="11272" max="11521" width="9.453125" style="87"/>
    <col min="11522" max="11522" width="2" style="87" bestFit="1" customWidth="1"/>
    <col min="11523" max="11523" width="74.453125" style="87" bestFit="1" customWidth="1"/>
    <col min="11524" max="11524" width="5.54296875" style="87" bestFit="1" customWidth="1"/>
    <col min="11525" max="11525" width="10.54296875" style="87" bestFit="1" customWidth="1"/>
    <col min="11526" max="11526" width="10" style="87" bestFit="1" customWidth="1"/>
    <col min="11527" max="11527" width="12.453125" style="87" bestFit="1" customWidth="1"/>
    <col min="11528" max="11777" width="9.453125" style="87"/>
    <col min="11778" max="11778" width="2" style="87" bestFit="1" customWidth="1"/>
    <col min="11779" max="11779" width="74.453125" style="87" bestFit="1" customWidth="1"/>
    <col min="11780" max="11780" width="5.54296875" style="87" bestFit="1" customWidth="1"/>
    <col min="11781" max="11781" width="10.54296875" style="87" bestFit="1" customWidth="1"/>
    <col min="11782" max="11782" width="10" style="87" bestFit="1" customWidth="1"/>
    <col min="11783" max="11783" width="12.453125" style="87" bestFit="1" customWidth="1"/>
    <col min="11784" max="12033" width="9.453125" style="87"/>
    <col min="12034" max="12034" width="2" style="87" bestFit="1" customWidth="1"/>
    <col min="12035" max="12035" width="74.453125" style="87" bestFit="1" customWidth="1"/>
    <col min="12036" max="12036" width="5.54296875" style="87" bestFit="1" customWidth="1"/>
    <col min="12037" max="12037" width="10.54296875" style="87" bestFit="1" customWidth="1"/>
    <col min="12038" max="12038" width="10" style="87" bestFit="1" customWidth="1"/>
    <col min="12039" max="12039" width="12.453125" style="87" bestFit="1" customWidth="1"/>
    <col min="12040" max="12289" width="9.453125" style="87"/>
    <col min="12290" max="12290" width="2" style="87" bestFit="1" customWidth="1"/>
    <col min="12291" max="12291" width="74.453125" style="87" bestFit="1" customWidth="1"/>
    <col min="12292" max="12292" width="5.54296875" style="87" bestFit="1" customWidth="1"/>
    <col min="12293" max="12293" width="10.54296875" style="87" bestFit="1" customWidth="1"/>
    <col min="12294" max="12294" width="10" style="87" bestFit="1" customWidth="1"/>
    <col min="12295" max="12295" width="12.453125" style="87" bestFit="1" customWidth="1"/>
    <col min="12296" max="12545" width="9.453125" style="87"/>
    <col min="12546" max="12546" width="2" style="87" bestFit="1" customWidth="1"/>
    <col min="12547" max="12547" width="74.453125" style="87" bestFit="1" customWidth="1"/>
    <col min="12548" max="12548" width="5.54296875" style="87" bestFit="1" customWidth="1"/>
    <col min="12549" max="12549" width="10.54296875" style="87" bestFit="1" customWidth="1"/>
    <col min="12550" max="12550" width="10" style="87" bestFit="1" customWidth="1"/>
    <col min="12551" max="12551" width="12.453125" style="87" bestFit="1" customWidth="1"/>
    <col min="12552" max="12801" width="9.453125" style="87"/>
    <col min="12802" max="12802" width="2" style="87" bestFit="1" customWidth="1"/>
    <col min="12803" max="12803" width="74.453125" style="87" bestFit="1" customWidth="1"/>
    <col min="12804" max="12804" width="5.54296875" style="87" bestFit="1" customWidth="1"/>
    <col min="12805" max="12805" width="10.54296875" style="87" bestFit="1" customWidth="1"/>
    <col min="12806" max="12806" width="10" style="87" bestFit="1" customWidth="1"/>
    <col min="12807" max="12807" width="12.453125" style="87" bestFit="1" customWidth="1"/>
    <col min="12808" max="13057" width="9.453125" style="87"/>
    <col min="13058" max="13058" width="2" style="87" bestFit="1" customWidth="1"/>
    <col min="13059" max="13059" width="74.453125" style="87" bestFit="1" customWidth="1"/>
    <col min="13060" max="13060" width="5.54296875" style="87" bestFit="1" customWidth="1"/>
    <col min="13061" max="13061" width="10.54296875" style="87" bestFit="1" customWidth="1"/>
    <col min="13062" max="13062" width="10" style="87" bestFit="1" customWidth="1"/>
    <col min="13063" max="13063" width="12.453125" style="87" bestFit="1" customWidth="1"/>
    <col min="13064" max="13313" width="9.453125" style="87"/>
    <col min="13314" max="13314" width="2" style="87" bestFit="1" customWidth="1"/>
    <col min="13315" max="13315" width="74.453125" style="87" bestFit="1" customWidth="1"/>
    <col min="13316" max="13316" width="5.54296875" style="87" bestFit="1" customWidth="1"/>
    <col min="13317" max="13317" width="10.54296875" style="87" bestFit="1" customWidth="1"/>
    <col min="13318" max="13318" width="10" style="87" bestFit="1" customWidth="1"/>
    <col min="13319" max="13319" width="12.453125" style="87" bestFit="1" customWidth="1"/>
    <col min="13320" max="13569" width="9.453125" style="87"/>
    <col min="13570" max="13570" width="2" style="87" bestFit="1" customWidth="1"/>
    <col min="13571" max="13571" width="74.453125" style="87" bestFit="1" customWidth="1"/>
    <col min="13572" max="13572" width="5.54296875" style="87" bestFit="1" customWidth="1"/>
    <col min="13573" max="13573" width="10.54296875" style="87" bestFit="1" customWidth="1"/>
    <col min="13574" max="13574" width="10" style="87" bestFit="1" customWidth="1"/>
    <col min="13575" max="13575" width="12.453125" style="87" bestFit="1" customWidth="1"/>
    <col min="13576" max="13825" width="9.453125" style="87"/>
    <col min="13826" max="13826" width="2" style="87" bestFit="1" customWidth="1"/>
    <col min="13827" max="13827" width="74.453125" style="87" bestFit="1" customWidth="1"/>
    <col min="13828" max="13828" width="5.54296875" style="87" bestFit="1" customWidth="1"/>
    <col min="13829" max="13829" width="10.54296875" style="87" bestFit="1" customWidth="1"/>
    <col min="13830" max="13830" width="10" style="87" bestFit="1" customWidth="1"/>
    <col min="13831" max="13831" width="12.453125" style="87" bestFit="1" customWidth="1"/>
    <col min="13832" max="14081" width="9.453125" style="87"/>
    <col min="14082" max="14082" width="2" style="87" bestFit="1" customWidth="1"/>
    <col min="14083" max="14083" width="74.453125" style="87" bestFit="1" customWidth="1"/>
    <col min="14084" max="14084" width="5.54296875" style="87" bestFit="1" customWidth="1"/>
    <col min="14085" max="14085" width="10.54296875" style="87" bestFit="1" customWidth="1"/>
    <col min="14086" max="14086" width="10" style="87" bestFit="1" customWidth="1"/>
    <col min="14087" max="14087" width="12.453125" style="87" bestFit="1" customWidth="1"/>
    <col min="14088" max="14337" width="9.453125" style="87"/>
    <col min="14338" max="14338" width="2" style="87" bestFit="1" customWidth="1"/>
    <col min="14339" max="14339" width="74.453125" style="87" bestFit="1" customWidth="1"/>
    <col min="14340" max="14340" width="5.54296875" style="87" bestFit="1" customWidth="1"/>
    <col min="14341" max="14341" width="10.54296875" style="87" bestFit="1" customWidth="1"/>
    <col min="14342" max="14342" width="10" style="87" bestFit="1" customWidth="1"/>
    <col min="14343" max="14343" width="12.453125" style="87" bestFit="1" customWidth="1"/>
    <col min="14344" max="14593" width="9.453125" style="87"/>
    <col min="14594" max="14594" width="2" style="87" bestFit="1" customWidth="1"/>
    <col min="14595" max="14595" width="74.453125" style="87" bestFit="1" customWidth="1"/>
    <col min="14596" max="14596" width="5.54296875" style="87" bestFit="1" customWidth="1"/>
    <col min="14597" max="14597" width="10.54296875" style="87" bestFit="1" customWidth="1"/>
    <col min="14598" max="14598" width="10" style="87" bestFit="1" customWidth="1"/>
    <col min="14599" max="14599" width="12.453125" style="87" bestFit="1" customWidth="1"/>
    <col min="14600" max="14849" width="9.453125" style="87"/>
    <col min="14850" max="14850" width="2" style="87" bestFit="1" customWidth="1"/>
    <col min="14851" max="14851" width="74.453125" style="87" bestFit="1" customWidth="1"/>
    <col min="14852" max="14852" width="5.54296875" style="87" bestFit="1" customWidth="1"/>
    <col min="14853" max="14853" width="10.54296875" style="87" bestFit="1" customWidth="1"/>
    <col min="14854" max="14854" width="10" style="87" bestFit="1" customWidth="1"/>
    <col min="14855" max="14855" width="12.453125" style="87" bestFit="1" customWidth="1"/>
    <col min="14856" max="15105" width="9.453125" style="87"/>
    <col min="15106" max="15106" width="2" style="87" bestFit="1" customWidth="1"/>
    <col min="15107" max="15107" width="74.453125" style="87" bestFit="1" customWidth="1"/>
    <col min="15108" max="15108" width="5.54296875" style="87" bestFit="1" customWidth="1"/>
    <col min="15109" max="15109" width="10.54296875" style="87" bestFit="1" customWidth="1"/>
    <col min="15110" max="15110" width="10" style="87" bestFit="1" customWidth="1"/>
    <col min="15111" max="15111" width="12.453125" style="87" bestFit="1" customWidth="1"/>
    <col min="15112" max="15361" width="9.453125" style="87"/>
    <col min="15362" max="15362" width="2" style="87" bestFit="1" customWidth="1"/>
    <col min="15363" max="15363" width="74.453125" style="87" bestFit="1" customWidth="1"/>
    <col min="15364" max="15364" width="5.54296875" style="87" bestFit="1" customWidth="1"/>
    <col min="15365" max="15365" width="10.54296875" style="87" bestFit="1" customWidth="1"/>
    <col min="15366" max="15366" width="10" style="87" bestFit="1" customWidth="1"/>
    <col min="15367" max="15367" width="12.453125" style="87" bestFit="1" customWidth="1"/>
    <col min="15368" max="15617" width="9.453125" style="87"/>
    <col min="15618" max="15618" width="2" style="87" bestFit="1" customWidth="1"/>
    <col min="15619" max="15619" width="74.453125" style="87" bestFit="1" customWidth="1"/>
    <col min="15620" max="15620" width="5.54296875" style="87" bestFit="1" customWidth="1"/>
    <col min="15621" max="15621" width="10.54296875" style="87" bestFit="1" customWidth="1"/>
    <col min="15622" max="15622" width="10" style="87" bestFit="1" customWidth="1"/>
    <col min="15623" max="15623" width="12.453125" style="87" bestFit="1" customWidth="1"/>
    <col min="15624" max="15873" width="9.453125" style="87"/>
    <col min="15874" max="15874" width="2" style="87" bestFit="1" customWidth="1"/>
    <col min="15875" max="15875" width="74.453125" style="87" bestFit="1" customWidth="1"/>
    <col min="15876" max="15876" width="5.54296875" style="87" bestFit="1" customWidth="1"/>
    <col min="15877" max="15877" width="10.54296875" style="87" bestFit="1" customWidth="1"/>
    <col min="15878" max="15878" width="10" style="87" bestFit="1" customWidth="1"/>
    <col min="15879" max="15879" width="12.453125" style="87" bestFit="1" customWidth="1"/>
    <col min="15880" max="16129" width="9.453125" style="87"/>
    <col min="16130" max="16130" width="2" style="87" bestFit="1" customWidth="1"/>
    <col min="16131" max="16131" width="74.453125" style="87" bestFit="1" customWidth="1"/>
    <col min="16132" max="16132" width="5.54296875" style="87" bestFit="1" customWidth="1"/>
    <col min="16133" max="16133" width="10.54296875" style="87" bestFit="1" customWidth="1"/>
    <col min="16134" max="16134" width="10" style="87" bestFit="1" customWidth="1"/>
    <col min="16135" max="16135" width="12.453125" style="87" bestFit="1" customWidth="1"/>
    <col min="16136" max="16384" width="9.453125" style="87"/>
  </cols>
  <sheetData>
    <row r="3" spans="2:8" x14ac:dyDescent="0.35">
      <c r="B3" s="117" t="s">
        <v>276</v>
      </c>
      <c r="C3" s="103" t="s">
        <v>277</v>
      </c>
      <c r="D3" s="103" t="s">
        <v>278</v>
      </c>
      <c r="E3" s="103"/>
      <c r="F3" s="116" t="s">
        <v>279</v>
      </c>
      <c r="G3" s="341" t="s">
        <v>280</v>
      </c>
      <c r="H3" s="342"/>
    </row>
    <row r="4" spans="2:8" x14ac:dyDescent="0.35">
      <c r="B4" s="88">
        <v>1</v>
      </c>
      <c r="C4" s="89" t="str">
        <f>'Brazil Est'!C31</f>
        <v xml:space="preserve">ONESOURCE Kickoff, Guidance and Control  </v>
      </c>
      <c r="D4" s="90" t="e">
        <f>'Brazil Est'!D31</f>
        <v>#REF!</v>
      </c>
      <c r="E4" s="90"/>
      <c r="F4" s="91" t="s">
        <v>281</v>
      </c>
      <c r="G4" s="337" t="s">
        <v>282</v>
      </c>
      <c r="H4" s="338"/>
    </row>
    <row r="5" spans="2:8" x14ac:dyDescent="0.35">
      <c r="B5" s="92"/>
      <c r="C5" s="93" t="s">
        <v>283</v>
      </c>
      <c r="D5" s="94"/>
      <c r="E5" s="94"/>
      <c r="F5" s="95"/>
      <c r="G5" s="335" t="s">
        <v>284</v>
      </c>
      <c r="H5" s="336"/>
    </row>
    <row r="6" spans="2:8" x14ac:dyDescent="0.35">
      <c r="B6" s="92"/>
      <c r="C6" s="93" t="s">
        <v>285</v>
      </c>
      <c r="D6" s="94"/>
      <c r="E6" s="94"/>
      <c r="F6" s="95"/>
      <c r="G6" s="335" t="s">
        <v>286</v>
      </c>
      <c r="H6" s="336"/>
    </row>
    <row r="7" spans="2:8" x14ac:dyDescent="0.35">
      <c r="B7" s="96"/>
      <c r="C7" s="97" t="s">
        <v>287</v>
      </c>
      <c r="D7" s="98"/>
      <c r="E7" s="98"/>
      <c r="F7" s="99"/>
      <c r="G7" s="339" t="s">
        <v>288</v>
      </c>
      <c r="H7" s="340"/>
    </row>
    <row r="8" spans="2:8" x14ac:dyDescent="0.35">
      <c r="B8" s="88">
        <v>2</v>
      </c>
      <c r="C8" s="89" t="str">
        <f>'Brazil Est'!C32</f>
        <v>ONESOURCE Technical Requirements, Architecture &amp; Performance</v>
      </c>
      <c r="D8" s="90" t="e">
        <f>'Brazil Est'!D32</f>
        <v>#REF!</v>
      </c>
      <c r="E8" s="90"/>
      <c r="F8" s="91" t="s">
        <v>289</v>
      </c>
      <c r="G8" s="337" t="s">
        <v>290</v>
      </c>
      <c r="H8" s="338"/>
    </row>
    <row r="9" spans="2:8" x14ac:dyDescent="0.35">
      <c r="B9" s="92"/>
      <c r="C9" s="93" t="s">
        <v>291</v>
      </c>
      <c r="D9" s="94"/>
      <c r="E9" s="94"/>
      <c r="F9" s="95"/>
      <c r="G9" s="335" t="s">
        <v>292</v>
      </c>
      <c r="H9" s="336"/>
    </row>
    <row r="10" spans="2:8" x14ac:dyDescent="0.35">
      <c r="B10" s="92"/>
      <c r="C10" s="93" t="s">
        <v>293</v>
      </c>
      <c r="D10" s="94"/>
      <c r="E10" s="94"/>
      <c r="F10" s="95"/>
      <c r="G10" s="339" t="s">
        <v>294</v>
      </c>
      <c r="H10" s="340"/>
    </row>
    <row r="11" spans="2:8" x14ac:dyDescent="0.35">
      <c r="B11" s="88">
        <v>3</v>
      </c>
      <c r="C11" s="89" t="s">
        <v>208</v>
      </c>
      <c r="D11" s="90" t="str">
        <f>'Brazil Est'!D33</f>
        <v>-</v>
      </c>
      <c r="E11" s="90"/>
      <c r="F11" s="91" t="s">
        <v>295</v>
      </c>
      <c r="G11" s="337" t="s">
        <v>296</v>
      </c>
      <c r="H11" s="338"/>
    </row>
    <row r="12" spans="2:8" x14ac:dyDescent="0.35">
      <c r="B12" s="92"/>
      <c r="C12" s="93" t="s">
        <v>297</v>
      </c>
      <c r="D12" s="94"/>
      <c r="E12" s="94"/>
      <c r="F12" s="95"/>
      <c r="G12" s="335" t="s">
        <v>298</v>
      </c>
      <c r="H12" s="336"/>
    </row>
    <row r="13" spans="2:8" x14ac:dyDescent="0.35">
      <c r="B13" s="92"/>
      <c r="C13" s="93" t="s">
        <v>299</v>
      </c>
      <c r="D13" s="94"/>
      <c r="E13" s="94"/>
      <c r="F13" s="95"/>
      <c r="G13" s="335" t="s">
        <v>300</v>
      </c>
      <c r="H13" s="336"/>
    </row>
    <row r="14" spans="2:8" x14ac:dyDescent="0.35">
      <c r="B14" s="92"/>
      <c r="C14" s="93" t="s">
        <v>301</v>
      </c>
      <c r="D14" s="94"/>
      <c r="E14" s="94"/>
      <c r="F14" s="95"/>
      <c r="G14" s="339"/>
      <c r="H14" s="340"/>
    </row>
    <row r="15" spans="2:8" x14ac:dyDescent="0.35">
      <c r="B15" s="88">
        <v>4</v>
      </c>
      <c r="C15" s="89" t="e">
        <f>'Brazil Est'!C34</f>
        <v>#REF!</v>
      </c>
      <c r="D15" s="90" t="str">
        <f>'Brazil Est'!D34</f>
        <v>-</v>
      </c>
      <c r="E15" s="90"/>
      <c r="F15" s="91"/>
      <c r="G15" s="337" t="s">
        <v>302</v>
      </c>
      <c r="H15" s="338"/>
    </row>
    <row r="16" spans="2:8" x14ac:dyDescent="0.35">
      <c r="B16" s="92"/>
      <c r="C16" s="30" t="s">
        <v>303</v>
      </c>
      <c r="D16" s="94"/>
      <c r="E16" s="94"/>
      <c r="F16" s="95"/>
      <c r="G16" s="331"/>
      <c r="H16" s="332"/>
    </row>
    <row r="17" spans="2:8" x14ac:dyDescent="0.35">
      <c r="B17" s="92"/>
      <c r="C17" s="30" t="s">
        <v>304</v>
      </c>
      <c r="D17" s="94"/>
      <c r="E17" s="94"/>
      <c r="F17" s="95"/>
      <c r="G17" s="329"/>
      <c r="H17" s="330"/>
    </row>
    <row r="18" spans="2:8" x14ac:dyDescent="0.35">
      <c r="B18" s="88">
        <v>5</v>
      </c>
      <c r="C18" s="89" t="str">
        <f>'Brazil Est'!C35</f>
        <v>ONESOURCE Configuration &amp; ERP Integration</v>
      </c>
      <c r="D18" s="90" t="str">
        <f>'Brazil Est'!D35</f>
        <v>-</v>
      </c>
      <c r="E18" s="90"/>
      <c r="F18" s="91" t="s">
        <v>305</v>
      </c>
      <c r="G18" s="327"/>
      <c r="H18" s="328"/>
    </row>
    <row r="19" spans="2:8" x14ac:dyDescent="0.35">
      <c r="B19" s="92"/>
      <c r="C19" s="93" t="s">
        <v>306</v>
      </c>
      <c r="D19" s="94"/>
      <c r="E19" s="94"/>
      <c r="F19" s="95"/>
      <c r="G19" s="331" t="s">
        <v>307</v>
      </c>
      <c r="H19" s="332"/>
    </row>
    <row r="20" spans="2:8" x14ac:dyDescent="0.35">
      <c r="B20" s="92"/>
      <c r="C20" s="93" t="s">
        <v>308</v>
      </c>
      <c r="D20" s="94"/>
      <c r="E20" s="94"/>
      <c r="F20" s="95"/>
      <c r="G20" s="331" t="s">
        <v>309</v>
      </c>
      <c r="H20" s="332"/>
    </row>
    <row r="21" spans="2:8" x14ac:dyDescent="0.35">
      <c r="B21" s="92"/>
      <c r="C21" s="93" t="s">
        <v>310</v>
      </c>
      <c r="D21" s="94"/>
      <c r="E21" s="94"/>
      <c r="F21" s="95"/>
      <c r="G21" s="331" t="s">
        <v>311</v>
      </c>
      <c r="H21" s="332"/>
    </row>
    <row r="22" spans="2:8" x14ac:dyDescent="0.35">
      <c r="B22" s="96"/>
      <c r="C22" s="97" t="s">
        <v>312</v>
      </c>
      <c r="D22" s="98"/>
      <c r="E22" s="98"/>
      <c r="F22" s="99"/>
      <c r="G22" s="329" t="s">
        <v>313</v>
      </c>
      <c r="H22" s="330"/>
    </row>
    <row r="23" spans="2:8" x14ac:dyDescent="0.35">
      <c r="B23" s="88">
        <v>6</v>
      </c>
      <c r="C23" s="89" t="str">
        <f>'Brazil Est'!C36</f>
        <v>Fiscal Operations and Use Case Definition Requirements</v>
      </c>
      <c r="D23" s="90">
        <f>'Brazil Est'!D36</f>
        <v>40</v>
      </c>
      <c r="E23" s="90"/>
      <c r="F23" s="91" t="s">
        <v>314</v>
      </c>
      <c r="G23" s="327"/>
      <c r="H23" s="328"/>
    </row>
    <row r="24" spans="2:8" x14ac:dyDescent="0.35">
      <c r="B24" s="92"/>
      <c r="C24" s="93" t="s">
        <v>315</v>
      </c>
      <c r="D24" s="94"/>
      <c r="E24" s="94"/>
      <c r="F24" s="100"/>
      <c r="G24" s="331" t="s">
        <v>316</v>
      </c>
      <c r="H24" s="332"/>
    </row>
    <row r="25" spans="2:8" x14ac:dyDescent="0.35">
      <c r="B25" s="92"/>
      <c r="C25" s="97" t="s">
        <v>317</v>
      </c>
      <c r="D25" s="94"/>
      <c r="E25" s="94"/>
      <c r="F25" s="95"/>
      <c r="G25" s="329"/>
      <c r="H25" s="330"/>
    </row>
    <row r="26" spans="2:8" x14ac:dyDescent="0.35">
      <c r="B26" s="88">
        <v>7</v>
      </c>
      <c r="C26" s="89" t="str">
        <f>'Brazil Est'!C37</f>
        <v>ONESOURCE Content - Premium +</v>
      </c>
      <c r="D26" s="90"/>
      <c r="E26" s="90"/>
      <c r="F26" s="91" t="s">
        <v>318</v>
      </c>
      <c r="G26" s="327"/>
      <c r="H26" s="328"/>
    </row>
    <row r="27" spans="2:8" x14ac:dyDescent="0.35">
      <c r="B27" s="92"/>
      <c r="C27" s="93" t="s">
        <v>319</v>
      </c>
      <c r="D27" s="94"/>
      <c r="E27" s="94"/>
      <c r="F27" s="95"/>
      <c r="G27" s="329"/>
      <c r="H27" s="330"/>
    </row>
    <row r="28" spans="2:8" x14ac:dyDescent="0.35">
      <c r="B28" s="88">
        <v>8</v>
      </c>
      <c r="C28" s="89" t="str">
        <f>'Brazil Est'!C38</f>
        <v>ONESOURCE Testing, UAT and Tax Determination Scenarios</v>
      </c>
      <c r="D28" s="90" t="str">
        <f>'Brazil Est'!D38</f>
        <v>-</v>
      </c>
      <c r="E28" s="90"/>
      <c r="F28" s="91" t="s">
        <v>320</v>
      </c>
      <c r="G28" s="327" t="s">
        <v>321</v>
      </c>
      <c r="H28" s="328"/>
    </row>
    <row r="29" spans="2:8" x14ac:dyDescent="0.35">
      <c r="B29" s="92"/>
      <c r="C29" s="93" t="s">
        <v>322</v>
      </c>
      <c r="D29" s="94"/>
      <c r="E29" s="94"/>
      <c r="F29" s="95"/>
      <c r="G29" s="331" t="s">
        <v>323</v>
      </c>
      <c r="H29" s="332"/>
    </row>
    <row r="30" spans="2:8" x14ac:dyDescent="0.35">
      <c r="B30" s="92"/>
      <c r="C30" s="93" t="s">
        <v>324</v>
      </c>
      <c r="D30" s="94"/>
      <c r="E30" s="94"/>
      <c r="F30" s="95"/>
      <c r="G30" s="329" t="s">
        <v>325</v>
      </c>
      <c r="H30" s="330"/>
    </row>
    <row r="31" spans="2:8" x14ac:dyDescent="0.35">
      <c r="B31" s="88">
        <v>9</v>
      </c>
      <c r="C31" s="89" t="str">
        <f>'Brazil Est'!C39</f>
        <v>ONESOURCE Production Readiness, Go Live, Stabilization</v>
      </c>
      <c r="D31" s="90" t="str">
        <f>'Brazil Est'!D39</f>
        <v>-</v>
      </c>
      <c r="E31" s="90"/>
      <c r="F31" s="91" t="s">
        <v>326</v>
      </c>
      <c r="G31" s="327" t="s">
        <v>327</v>
      </c>
      <c r="H31" s="328"/>
    </row>
    <row r="32" spans="2:8" x14ac:dyDescent="0.35">
      <c r="B32" s="92"/>
      <c r="C32" s="93" t="s">
        <v>328</v>
      </c>
      <c r="D32" s="94"/>
      <c r="E32" s="94"/>
      <c r="F32" s="95"/>
      <c r="G32" s="331"/>
      <c r="H32" s="332"/>
    </row>
    <row r="33" spans="2:13" x14ac:dyDescent="0.35">
      <c r="B33" s="96"/>
      <c r="C33" s="97" t="s">
        <v>329</v>
      </c>
      <c r="D33" s="98"/>
      <c r="E33" s="98"/>
      <c r="F33" s="99"/>
      <c r="G33" s="329"/>
      <c r="H33" s="330"/>
    </row>
    <row r="34" spans="2:13" x14ac:dyDescent="0.35">
      <c r="B34" s="101"/>
      <c r="C34" s="102" t="s">
        <v>330</v>
      </c>
      <c r="D34" s="103" t="e">
        <f>SUM(D4:D4:D23)+SUM(D28:D31)</f>
        <v>#REF!</v>
      </c>
      <c r="E34" s="103"/>
      <c r="F34" s="104"/>
      <c r="G34" s="333"/>
      <c r="H34" s="334"/>
    </row>
    <row r="35" spans="2:13" x14ac:dyDescent="0.35">
      <c r="B35" s="105"/>
      <c r="C35" s="105"/>
      <c r="D35" s="105"/>
      <c r="E35" s="105"/>
      <c r="F35" s="105"/>
      <c r="G35" s="105"/>
    </row>
    <row r="36" spans="2:13" x14ac:dyDescent="0.35">
      <c r="M36" s="115"/>
    </row>
    <row r="37" spans="2:13" x14ac:dyDescent="0.35">
      <c r="B37" s="106"/>
      <c r="C37" s="106" t="s">
        <v>331</v>
      </c>
      <c r="D37" s="113" t="s">
        <v>332</v>
      </c>
      <c r="E37" s="113" t="s">
        <v>333</v>
      </c>
      <c r="F37" s="113" t="s">
        <v>334</v>
      </c>
      <c r="G37" s="114" t="s">
        <v>335</v>
      </c>
      <c r="M37" s="115"/>
    </row>
    <row r="38" spans="2:13" x14ac:dyDescent="0.35">
      <c r="B38" s="107">
        <v>1</v>
      </c>
      <c r="C38" s="108" t="str">
        <f>'Brazil Est'!C44</f>
        <v xml:space="preserve">ONESOURCE Consulting Implementation Services </v>
      </c>
      <c r="D38" s="109" t="e">
        <f>+D34</f>
        <v>#REF!</v>
      </c>
      <c r="E38" s="110">
        <v>125</v>
      </c>
      <c r="F38" s="110" t="e">
        <f>+D38*E38</f>
        <v>#REF!</v>
      </c>
      <c r="G38" s="110" t="e">
        <f>+F38*3.2</f>
        <v>#REF!</v>
      </c>
    </row>
    <row r="39" spans="2:13" x14ac:dyDescent="0.35">
      <c r="B39" s="111">
        <v>2</v>
      </c>
      <c r="C39" s="108" t="str">
        <f>'Brazil Est'!C45</f>
        <v>ONESOURCE Determination Onsite Training (up to 6 attendees)</v>
      </c>
      <c r="D39" s="109" t="str">
        <f>'Brazil Est'!D45:E45</f>
        <v>Flat Fee</v>
      </c>
      <c r="E39" s="110"/>
      <c r="F39" s="110">
        <v>6000</v>
      </c>
      <c r="G39" s="110">
        <f t="shared" ref="G39:G42" si="0">+F39*3.2</f>
        <v>19200</v>
      </c>
    </row>
    <row r="40" spans="2:13" x14ac:dyDescent="0.35">
      <c r="B40" s="111">
        <v>3</v>
      </c>
      <c r="C40" s="108" t="str">
        <f>'Brazil Est'!C46</f>
        <v>ONSOURCE Determination ERP Integration Training</v>
      </c>
      <c r="D40" s="109" t="str">
        <f>'Brazil Est'!D46:E46</f>
        <v>Flat Fee</v>
      </c>
      <c r="E40" s="110"/>
      <c r="F40" s="110">
        <v>6000</v>
      </c>
      <c r="G40" s="110">
        <f t="shared" si="0"/>
        <v>19200</v>
      </c>
    </row>
    <row r="41" spans="2:13" x14ac:dyDescent="0.35">
      <c r="B41" s="111">
        <v>4</v>
      </c>
      <c r="C41" s="108" t="s">
        <v>336</v>
      </c>
      <c r="D41" s="109">
        <f>D26</f>
        <v>0</v>
      </c>
      <c r="E41" s="110">
        <v>100</v>
      </c>
      <c r="F41" s="110">
        <f>+D41*E41</f>
        <v>0</v>
      </c>
      <c r="G41" s="110">
        <f t="shared" si="0"/>
        <v>0</v>
      </c>
    </row>
    <row r="42" spans="2:13" x14ac:dyDescent="0.35">
      <c r="B42" s="112">
        <v>5</v>
      </c>
      <c r="C42" s="108" t="s">
        <v>337</v>
      </c>
      <c r="D42" s="109">
        <v>0</v>
      </c>
      <c r="E42" s="110"/>
      <c r="F42" s="110">
        <v>0</v>
      </c>
      <c r="G42" s="110">
        <f t="shared" si="0"/>
        <v>0</v>
      </c>
    </row>
    <row r="43" spans="2:13" x14ac:dyDescent="0.35">
      <c r="B43" s="112">
        <v>6</v>
      </c>
      <c r="C43" s="118" t="s">
        <v>204</v>
      </c>
      <c r="D43" s="109" t="e">
        <f>SUM(D38,D41,D42)</f>
        <v>#REF!</v>
      </c>
      <c r="E43" s="110"/>
      <c r="F43" s="110" t="e">
        <f>SUM(F38:F42)</f>
        <v>#REF!</v>
      </c>
      <c r="G43" s="110" t="e">
        <f>SUM(G38:G42)</f>
        <v>#REF!</v>
      </c>
    </row>
    <row r="44" spans="2:13" x14ac:dyDescent="0.35">
      <c r="B44" s="119"/>
      <c r="C44" s="120"/>
      <c r="D44" s="121"/>
      <c r="E44" s="121"/>
      <c r="F44" s="122"/>
      <c r="G44" s="122"/>
    </row>
  </sheetData>
  <mergeCells count="32">
    <mergeCell ref="G8:H8"/>
    <mergeCell ref="G9:H9"/>
    <mergeCell ref="G10:H10"/>
    <mergeCell ref="G11:H11"/>
    <mergeCell ref="G3:H3"/>
    <mergeCell ref="G4:H4"/>
    <mergeCell ref="G5:H5"/>
    <mergeCell ref="G6:H6"/>
    <mergeCell ref="G7:H7"/>
    <mergeCell ref="G12:H12"/>
    <mergeCell ref="G13:H13"/>
    <mergeCell ref="G15:H15"/>
    <mergeCell ref="G16:H16"/>
    <mergeCell ref="G17:H17"/>
    <mergeCell ref="G14:H14"/>
    <mergeCell ref="G29:H29"/>
    <mergeCell ref="G18:H18"/>
    <mergeCell ref="G19:H19"/>
    <mergeCell ref="G20:H20"/>
    <mergeCell ref="G21:H21"/>
    <mergeCell ref="G22:H22"/>
    <mergeCell ref="G23:H23"/>
    <mergeCell ref="G24:H24"/>
    <mergeCell ref="G25:H25"/>
    <mergeCell ref="G26:H26"/>
    <mergeCell ref="G27:H27"/>
    <mergeCell ref="G28:H28"/>
    <mergeCell ref="G31:H31"/>
    <mergeCell ref="G30:H30"/>
    <mergeCell ref="G32:H32"/>
    <mergeCell ref="G33:H33"/>
    <mergeCell ref="G34:H34"/>
  </mergeCells>
  <conditionalFormatting sqref="D34:E34">
    <cfRule type="cellIs" dxfId="0" priority="1" operator="equal">
      <formula>"Incomplete"</formula>
    </cfRule>
  </conditionalFormatting>
  <pageMargins left="0.7" right="0.7" top="0.75" bottom="0.75" header="0.3" footer="0.3"/>
  <pageSetup paperSize="9" orientation="portrait" r:id="rId1"/>
  <ignoredErrors>
    <ignoredError sqref="D4 D8 D11 D15 D18 D23 D28 D31 C39 G39" unlockedFormula="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31"/>
  <dimension ref="A2:AC82"/>
  <sheetViews>
    <sheetView topLeftCell="A14" workbookViewId="0">
      <selection activeCell="H28" sqref="H28"/>
    </sheetView>
  </sheetViews>
  <sheetFormatPr defaultColWidth="9.453125" defaultRowHeight="14.5" x14ac:dyDescent="0.35"/>
  <cols>
    <col min="1" max="1" width="4.54296875" bestFit="1" customWidth="1"/>
    <col min="2" max="2" width="14.54296875" bestFit="1" customWidth="1"/>
    <col min="3" max="3" width="55" bestFit="1" customWidth="1"/>
    <col min="4" max="4" width="16.453125" bestFit="1" customWidth="1"/>
    <col min="5" max="5" width="8.54296875" bestFit="1" customWidth="1"/>
    <col min="6" max="6" width="14.453125" bestFit="1" customWidth="1"/>
    <col min="7" max="7" width="9.54296875" bestFit="1" customWidth="1"/>
    <col min="8" max="8" width="22.453125" bestFit="1" customWidth="1"/>
    <col min="9" max="9" width="12" bestFit="1" customWidth="1"/>
    <col min="10" max="10" width="22.54296875" customWidth="1"/>
    <col min="11" max="11" width="8.453125" bestFit="1" customWidth="1"/>
    <col min="12" max="12" width="20" customWidth="1"/>
    <col min="13" max="13" width="8" bestFit="1" customWidth="1"/>
    <col min="14" max="14" width="17.54296875" customWidth="1"/>
    <col min="15" max="15" width="10.453125" customWidth="1"/>
    <col min="16" max="16" width="15.453125" customWidth="1"/>
    <col min="17" max="17" width="10.54296875" customWidth="1"/>
    <col min="18" max="18" width="19.453125" bestFit="1" customWidth="1"/>
    <col min="19" max="19" width="7.54296875" bestFit="1" customWidth="1"/>
    <col min="20" max="20" width="16.54296875" bestFit="1" customWidth="1"/>
    <col min="21" max="21" width="8.453125" bestFit="1" customWidth="1"/>
    <col min="22" max="22" width="21.54296875" bestFit="1" customWidth="1"/>
    <col min="23" max="23" width="16.54296875" bestFit="1" customWidth="1"/>
    <col min="24" max="24" width="13.54296875" bestFit="1" customWidth="1"/>
    <col min="25" max="25" width="8" bestFit="1" customWidth="1"/>
    <col min="26" max="26" width="9.453125" customWidth="1"/>
    <col min="27" max="27" width="11.54296875" customWidth="1"/>
    <col min="28" max="28" width="13.453125" customWidth="1"/>
    <col min="29" max="29" width="4.453125" bestFit="1" customWidth="1"/>
  </cols>
  <sheetData>
    <row r="2" spans="1:29" x14ac:dyDescent="0.35">
      <c r="B2" s="343" t="s">
        <v>338</v>
      </c>
      <c r="C2" s="343"/>
      <c r="D2" s="343"/>
      <c r="E2" s="343"/>
      <c r="F2" s="343"/>
      <c r="G2" s="343"/>
      <c r="H2" s="343"/>
      <c r="I2" s="343"/>
      <c r="J2" s="343"/>
      <c r="K2" s="343"/>
      <c r="L2" s="343"/>
      <c r="M2" s="343"/>
      <c r="N2" s="343"/>
      <c r="O2" s="343"/>
      <c r="P2" s="343"/>
      <c r="Q2" s="343"/>
      <c r="R2" s="343"/>
      <c r="S2" s="343"/>
      <c r="T2" s="343"/>
      <c r="U2" s="343"/>
    </row>
    <row r="3" spans="1:29" x14ac:dyDescent="0.35">
      <c r="B3" s="31" t="s">
        <v>339</v>
      </c>
      <c r="C3" s="31" t="s">
        <v>166</v>
      </c>
      <c r="D3" s="31" t="s">
        <v>172</v>
      </c>
      <c r="E3" s="31" t="s">
        <v>166</v>
      </c>
      <c r="F3" s="31" t="s">
        <v>340</v>
      </c>
      <c r="G3" s="31" t="s">
        <v>166</v>
      </c>
      <c r="H3" s="31" t="s">
        <v>176</v>
      </c>
      <c r="I3" s="31" t="s">
        <v>166</v>
      </c>
      <c r="J3" s="31" t="s">
        <v>178</v>
      </c>
      <c r="K3" s="31" t="s">
        <v>166</v>
      </c>
      <c r="L3" s="31" t="s">
        <v>341</v>
      </c>
      <c r="M3" s="31" t="s">
        <v>166</v>
      </c>
      <c r="N3" s="31" t="s">
        <v>342</v>
      </c>
      <c r="O3" s="31" t="s">
        <v>166</v>
      </c>
      <c r="P3" s="31" t="s">
        <v>186</v>
      </c>
      <c r="Q3" s="31" t="s">
        <v>332</v>
      </c>
      <c r="R3" s="31" t="s">
        <v>343</v>
      </c>
      <c r="S3" s="31" t="s">
        <v>332</v>
      </c>
      <c r="T3" s="31" t="s">
        <v>188</v>
      </c>
      <c r="U3" s="31" t="s">
        <v>166</v>
      </c>
      <c r="V3" s="31" t="s">
        <v>191</v>
      </c>
      <c r="W3" s="31" t="s">
        <v>332</v>
      </c>
    </row>
    <row r="4" spans="1:29" x14ac:dyDescent="0.35">
      <c r="B4" s="36" t="s">
        <v>344</v>
      </c>
      <c r="C4" s="36">
        <v>1</v>
      </c>
      <c r="D4" s="36" t="s">
        <v>345</v>
      </c>
      <c r="E4" s="36">
        <v>1</v>
      </c>
      <c r="F4" s="36" t="s">
        <v>346</v>
      </c>
      <c r="G4" s="36">
        <v>1</v>
      </c>
      <c r="H4" s="36" t="s">
        <v>347</v>
      </c>
      <c r="I4" s="36">
        <v>1</v>
      </c>
      <c r="J4" s="36" t="s">
        <v>348</v>
      </c>
      <c r="K4" s="36">
        <v>1</v>
      </c>
      <c r="L4" t="s">
        <v>348</v>
      </c>
      <c r="M4">
        <v>80</v>
      </c>
      <c r="N4">
        <v>6</v>
      </c>
      <c r="O4">
        <v>1</v>
      </c>
      <c r="P4" t="s">
        <v>348</v>
      </c>
      <c r="Q4">
        <v>150</v>
      </c>
      <c r="R4" t="s">
        <v>349</v>
      </c>
      <c r="S4">
        <v>40</v>
      </c>
      <c r="T4" s="36" t="s">
        <v>189</v>
      </c>
      <c r="U4" s="36" t="s">
        <v>182</v>
      </c>
      <c r="V4" s="36" t="s">
        <v>350</v>
      </c>
      <c r="W4" s="36">
        <v>40</v>
      </c>
    </row>
    <row r="5" spans="1:29" x14ac:dyDescent="0.35">
      <c r="B5" s="36" t="s">
        <v>351</v>
      </c>
      <c r="C5" s="36">
        <v>1.2</v>
      </c>
      <c r="D5" s="37" t="s">
        <v>352</v>
      </c>
      <c r="E5" s="36">
        <v>1</v>
      </c>
      <c r="F5" s="36" t="s">
        <v>353</v>
      </c>
      <c r="G5" s="36">
        <v>1.25</v>
      </c>
      <c r="H5" s="36" t="s">
        <v>354</v>
      </c>
      <c r="I5" s="36">
        <v>1.5</v>
      </c>
      <c r="J5" s="37" t="s">
        <v>355</v>
      </c>
      <c r="K5" s="36">
        <v>1.5</v>
      </c>
      <c r="L5" t="s">
        <v>356</v>
      </c>
      <c r="M5">
        <v>80</v>
      </c>
      <c r="N5">
        <v>9</v>
      </c>
      <c r="O5">
        <v>1.5</v>
      </c>
      <c r="P5" t="s">
        <v>357</v>
      </c>
      <c r="Q5">
        <v>220</v>
      </c>
      <c r="R5" t="s">
        <v>358</v>
      </c>
      <c r="S5">
        <v>80</v>
      </c>
      <c r="T5" s="37" t="s">
        <v>359</v>
      </c>
      <c r="U5" s="37" t="s">
        <v>182</v>
      </c>
      <c r="V5" s="37" t="s">
        <v>360</v>
      </c>
      <c r="W5" s="37" t="s">
        <v>361</v>
      </c>
    </row>
    <row r="6" spans="1:29" x14ac:dyDescent="0.35">
      <c r="B6" s="36" t="s">
        <v>362</v>
      </c>
      <c r="C6" s="36">
        <v>1.2</v>
      </c>
      <c r="D6" s="36" t="s">
        <v>363</v>
      </c>
      <c r="E6" s="36">
        <v>1.5</v>
      </c>
      <c r="F6" s="36" t="s">
        <v>363</v>
      </c>
      <c r="G6" s="36">
        <v>1.5</v>
      </c>
      <c r="H6" s="36" t="s">
        <v>364</v>
      </c>
      <c r="I6" s="36">
        <v>1.5</v>
      </c>
      <c r="J6" s="36" t="s">
        <v>179</v>
      </c>
      <c r="K6" s="36">
        <v>2</v>
      </c>
      <c r="L6" t="s">
        <v>365</v>
      </c>
      <c r="M6">
        <v>80</v>
      </c>
      <c r="N6">
        <v>12</v>
      </c>
      <c r="O6">
        <v>2</v>
      </c>
      <c r="P6" t="s">
        <v>366</v>
      </c>
      <c r="Q6">
        <v>400</v>
      </c>
      <c r="R6" t="s">
        <v>367</v>
      </c>
      <c r="S6">
        <v>120</v>
      </c>
      <c r="W6" s="36"/>
      <c r="X6" s="36"/>
    </row>
    <row r="7" spans="1:29" x14ac:dyDescent="0.35">
      <c r="B7" s="36" t="s">
        <v>368</v>
      </c>
      <c r="C7" s="36">
        <v>1.5</v>
      </c>
      <c r="H7" s="151" t="s">
        <v>369</v>
      </c>
      <c r="I7" s="36">
        <v>2</v>
      </c>
    </row>
    <row r="9" spans="1:29" x14ac:dyDescent="0.35">
      <c r="A9" t="s">
        <v>370</v>
      </c>
      <c r="C9">
        <f>MIN(ERP[Factor])</f>
        <v>1</v>
      </c>
      <c r="E9">
        <f>MIN(Type[Factor])</f>
        <v>1</v>
      </c>
      <c r="G9">
        <f>MIN(Scope[Factor])</f>
        <v>1</v>
      </c>
      <c r="I9">
        <f>MIN(Chain[Factor])</f>
        <v>1</v>
      </c>
      <c r="K9">
        <f>MIN(Content[Factor])</f>
        <v>1</v>
      </c>
      <c r="M9">
        <f>SUM(C9:K9)</f>
        <v>5</v>
      </c>
    </row>
    <row r="10" spans="1:29" x14ac:dyDescent="0.35">
      <c r="A10" t="s">
        <v>371</v>
      </c>
      <c r="C10">
        <f>MAX(ERP[Factor])</f>
        <v>1.5</v>
      </c>
      <c r="E10">
        <f>MAX(Type[Factor])</f>
        <v>1.5</v>
      </c>
      <c r="G10">
        <f>MAX(Scope[Factor])</f>
        <v>1.5</v>
      </c>
      <c r="I10">
        <f>MAX(Chain[Factor])</f>
        <v>2</v>
      </c>
      <c r="K10">
        <f>MAX(Content[Factor])</f>
        <v>2</v>
      </c>
      <c r="M10">
        <f>SUM(C10:K10)</f>
        <v>8.5</v>
      </c>
      <c r="Q10" s="36"/>
      <c r="R10" s="36"/>
    </row>
    <row r="11" spans="1:29" x14ac:dyDescent="0.35">
      <c r="B11" s="343" t="s">
        <v>372</v>
      </c>
      <c r="C11" s="343"/>
      <c r="D11" s="343"/>
      <c r="E11" s="343"/>
      <c r="F11" s="343"/>
      <c r="G11" s="343"/>
      <c r="H11" s="343"/>
      <c r="I11" s="343"/>
      <c r="J11" s="343"/>
      <c r="K11" s="343"/>
      <c r="L11" s="343"/>
      <c r="Q11" s="36"/>
      <c r="R11" s="36"/>
    </row>
    <row r="12" spans="1:29" x14ac:dyDescent="0.35">
      <c r="B12" s="31" t="s">
        <v>171</v>
      </c>
      <c r="C12" s="31" t="s">
        <v>166</v>
      </c>
      <c r="D12" s="31" t="s">
        <v>373</v>
      </c>
      <c r="E12" s="31" t="s">
        <v>166</v>
      </c>
      <c r="F12" s="31" t="s">
        <v>374</v>
      </c>
      <c r="G12" s="31" t="s">
        <v>166</v>
      </c>
      <c r="H12" s="31" t="s">
        <v>375</v>
      </c>
      <c r="I12" s="31" t="s">
        <v>166</v>
      </c>
      <c r="J12" s="31" t="s">
        <v>376</v>
      </c>
      <c r="K12" s="31" t="s">
        <v>166</v>
      </c>
      <c r="L12" s="155" t="s">
        <v>377</v>
      </c>
      <c r="M12" s="155" t="s">
        <v>166</v>
      </c>
      <c r="N12" s="155" t="s">
        <v>378</v>
      </c>
      <c r="O12" s="155" t="s">
        <v>166</v>
      </c>
      <c r="P12" s="155" t="s">
        <v>379</v>
      </c>
      <c r="Q12" s="155" t="s">
        <v>166</v>
      </c>
      <c r="R12" s="155" t="s">
        <v>380</v>
      </c>
      <c r="S12" s="155" t="s">
        <v>166</v>
      </c>
      <c r="T12" s="155" t="s">
        <v>381</v>
      </c>
      <c r="U12" s="155" t="s">
        <v>166</v>
      </c>
      <c r="V12" s="155" t="s">
        <v>382</v>
      </c>
      <c r="W12" s="155" t="s">
        <v>166</v>
      </c>
      <c r="X12" s="31" t="s">
        <v>196</v>
      </c>
      <c r="Y12" s="31" t="s">
        <v>166</v>
      </c>
      <c r="Z12" s="31" t="s">
        <v>383</v>
      </c>
      <c r="AA12" s="31" t="s">
        <v>166</v>
      </c>
      <c r="AB12" s="155" t="s">
        <v>384</v>
      </c>
      <c r="AC12" s="155" t="s">
        <v>166</v>
      </c>
    </row>
    <row r="13" spans="1:29" x14ac:dyDescent="0.35">
      <c r="B13" s="36" t="s">
        <v>385</v>
      </c>
      <c r="C13" s="36">
        <v>1</v>
      </c>
      <c r="D13" s="153" t="s">
        <v>386</v>
      </c>
      <c r="E13" s="36">
        <v>1</v>
      </c>
      <c r="F13" s="36" t="s">
        <v>387</v>
      </c>
      <c r="G13" s="36">
        <v>1</v>
      </c>
      <c r="H13" s="37" t="s">
        <v>388</v>
      </c>
      <c r="I13" s="36">
        <v>0</v>
      </c>
      <c r="J13" s="37" t="s">
        <v>388</v>
      </c>
      <c r="K13" s="36">
        <v>0</v>
      </c>
      <c r="L13" s="208" t="s">
        <v>388</v>
      </c>
      <c r="M13" s="209" t="s">
        <v>389</v>
      </c>
      <c r="N13" s="208" t="s">
        <v>388</v>
      </c>
      <c r="O13" s="209" t="s">
        <v>389</v>
      </c>
      <c r="P13" t="s">
        <v>388</v>
      </c>
      <c r="Q13" s="209">
        <v>0</v>
      </c>
      <c r="R13" t="s">
        <v>388</v>
      </c>
      <c r="S13" s="209">
        <v>0</v>
      </c>
      <c r="T13" t="s">
        <v>388</v>
      </c>
      <c r="U13" s="209">
        <v>0</v>
      </c>
      <c r="V13" t="s">
        <v>388</v>
      </c>
      <c r="W13" s="209">
        <v>0</v>
      </c>
      <c r="X13" s="36" t="s">
        <v>387</v>
      </c>
      <c r="Y13" s="36">
        <v>1</v>
      </c>
      <c r="Z13" s="36" t="s">
        <v>388</v>
      </c>
      <c r="AA13" s="36">
        <v>0</v>
      </c>
      <c r="AB13" t="s">
        <v>388</v>
      </c>
      <c r="AC13">
        <v>0</v>
      </c>
    </row>
    <row r="14" spans="1:29" x14ac:dyDescent="0.35">
      <c r="B14" s="37" t="s">
        <v>390</v>
      </c>
      <c r="C14" s="37" t="s">
        <v>391</v>
      </c>
      <c r="D14" s="154" t="s">
        <v>392</v>
      </c>
      <c r="E14" s="36">
        <v>1.5</v>
      </c>
      <c r="F14" s="36" t="s">
        <v>393</v>
      </c>
      <c r="G14" s="36">
        <v>1.1499999999999999</v>
      </c>
      <c r="H14" s="37" t="s">
        <v>385</v>
      </c>
      <c r="I14" s="36">
        <v>1</v>
      </c>
      <c r="J14" s="37" t="s">
        <v>385</v>
      </c>
      <c r="K14" s="36">
        <v>1</v>
      </c>
      <c r="L14" s="196" t="s">
        <v>394</v>
      </c>
      <c r="M14" s="197">
        <v>1</v>
      </c>
      <c r="N14" s="196" t="s">
        <v>394</v>
      </c>
      <c r="O14" s="197">
        <v>1</v>
      </c>
      <c r="P14" s="153" t="s">
        <v>386</v>
      </c>
      <c r="Q14" s="197">
        <v>1.2</v>
      </c>
      <c r="R14" s="153" t="s">
        <v>386</v>
      </c>
      <c r="S14" s="197">
        <v>1.2</v>
      </c>
      <c r="T14" s="153" t="s">
        <v>386</v>
      </c>
      <c r="U14" s="197">
        <v>1.2</v>
      </c>
      <c r="V14" s="153" t="s">
        <v>386</v>
      </c>
      <c r="W14" s="197">
        <v>1.2</v>
      </c>
      <c r="X14" s="36" t="s">
        <v>393</v>
      </c>
      <c r="Y14" s="36">
        <v>1.1499999999999999</v>
      </c>
      <c r="Z14" s="36" t="s">
        <v>387</v>
      </c>
      <c r="AA14" s="36">
        <v>1</v>
      </c>
      <c r="AB14" s="153" t="s">
        <v>395</v>
      </c>
      <c r="AC14" s="153">
        <v>1.2</v>
      </c>
    </row>
    <row r="15" spans="1:29" x14ac:dyDescent="0.35">
      <c r="B15" s="36" t="s">
        <v>396</v>
      </c>
      <c r="C15" s="36">
        <v>2</v>
      </c>
      <c r="D15" s="156" t="s">
        <v>397</v>
      </c>
      <c r="E15" s="36">
        <v>2</v>
      </c>
      <c r="F15" s="36" t="s">
        <v>398</v>
      </c>
      <c r="G15" s="36">
        <v>1.3</v>
      </c>
      <c r="H15" s="37" t="s">
        <v>399</v>
      </c>
      <c r="I15" s="36">
        <v>1.1499999999999999</v>
      </c>
      <c r="J15" s="37" t="s">
        <v>399</v>
      </c>
      <c r="K15" s="36">
        <v>1.1499999999999999</v>
      </c>
      <c r="L15" s="196" t="s">
        <v>400</v>
      </c>
      <c r="M15" s="198" t="s">
        <v>401</v>
      </c>
      <c r="N15" s="196" t="s">
        <v>400</v>
      </c>
      <c r="O15" s="198" t="s">
        <v>401</v>
      </c>
      <c r="P15" s="154" t="s">
        <v>392</v>
      </c>
      <c r="Q15" s="198">
        <v>1.6</v>
      </c>
      <c r="R15" s="154" t="s">
        <v>392</v>
      </c>
      <c r="S15" s="198">
        <v>1.6</v>
      </c>
      <c r="T15" s="154" t="s">
        <v>392</v>
      </c>
      <c r="U15" s="198">
        <v>1.6</v>
      </c>
      <c r="V15" s="154" t="s">
        <v>392</v>
      </c>
      <c r="W15" s="198">
        <v>1.6</v>
      </c>
      <c r="X15" s="36" t="s">
        <v>398</v>
      </c>
      <c r="Y15" s="36">
        <v>1.3</v>
      </c>
      <c r="Z15" s="36" t="s">
        <v>393</v>
      </c>
      <c r="AA15" s="36">
        <v>1.1499999999999999</v>
      </c>
      <c r="AB15" s="154" t="s">
        <v>402</v>
      </c>
      <c r="AC15" s="154">
        <v>1.6</v>
      </c>
    </row>
    <row r="16" spans="1:29" x14ac:dyDescent="0.35">
      <c r="D16" s="156"/>
      <c r="E16" s="36"/>
      <c r="F16" s="36" t="s">
        <v>403</v>
      </c>
      <c r="G16" s="36">
        <v>1.5</v>
      </c>
      <c r="H16" s="37" t="s">
        <v>404</v>
      </c>
      <c r="I16" s="36">
        <v>1.3</v>
      </c>
      <c r="J16" s="37" t="s">
        <v>404</v>
      </c>
      <c r="K16" s="36">
        <v>1.3</v>
      </c>
      <c r="L16" s="196" t="s">
        <v>405</v>
      </c>
      <c r="M16" s="199" t="s">
        <v>400</v>
      </c>
      <c r="N16" s="196" t="s">
        <v>405</v>
      </c>
      <c r="O16" s="199" t="s">
        <v>400</v>
      </c>
      <c r="P16" s="156" t="s">
        <v>397</v>
      </c>
      <c r="Q16" s="199">
        <v>2</v>
      </c>
      <c r="R16" s="156" t="s">
        <v>397</v>
      </c>
      <c r="S16" s="199">
        <v>2</v>
      </c>
      <c r="T16" s="156" t="s">
        <v>397</v>
      </c>
      <c r="U16" s="199">
        <v>2</v>
      </c>
      <c r="V16" s="156" t="s">
        <v>397</v>
      </c>
      <c r="W16" s="199">
        <v>2</v>
      </c>
      <c r="X16" s="36" t="s">
        <v>403</v>
      </c>
      <c r="Y16" s="36">
        <v>1.5</v>
      </c>
      <c r="Z16" s="36" t="s">
        <v>398</v>
      </c>
      <c r="AA16" s="36">
        <v>1.3</v>
      </c>
      <c r="AB16" s="156" t="s">
        <v>406</v>
      </c>
      <c r="AC16" s="156">
        <v>2</v>
      </c>
    </row>
    <row r="17" spans="1:29" x14ac:dyDescent="0.35">
      <c r="F17" s="36" t="s">
        <v>407</v>
      </c>
      <c r="G17" s="36">
        <v>1.75</v>
      </c>
      <c r="H17" s="37" t="s">
        <v>408</v>
      </c>
      <c r="I17" s="36">
        <v>1.5</v>
      </c>
      <c r="J17" s="37" t="s">
        <v>408</v>
      </c>
      <c r="K17" s="36">
        <v>1.5</v>
      </c>
      <c r="X17" s="36" t="s">
        <v>407</v>
      </c>
      <c r="Y17" s="36">
        <v>1.75</v>
      </c>
      <c r="Z17" s="36" t="s">
        <v>403</v>
      </c>
      <c r="AA17" s="36">
        <v>1.5</v>
      </c>
    </row>
    <row r="18" spans="1:29" x14ac:dyDescent="0.35">
      <c r="F18" s="36" t="s">
        <v>409</v>
      </c>
      <c r="G18" s="36">
        <v>2</v>
      </c>
      <c r="H18" s="37" t="s">
        <v>410</v>
      </c>
      <c r="I18" s="36">
        <v>1.75</v>
      </c>
      <c r="J18" s="37" t="s">
        <v>410</v>
      </c>
      <c r="K18" s="36">
        <v>1.75</v>
      </c>
      <c r="X18" s="36" t="s">
        <v>409</v>
      </c>
      <c r="Y18" s="36">
        <v>2</v>
      </c>
      <c r="Z18" s="36" t="s">
        <v>407</v>
      </c>
      <c r="AA18" s="36">
        <v>1.75</v>
      </c>
    </row>
    <row r="19" spans="1:29" x14ac:dyDescent="0.35">
      <c r="F19" s="36"/>
      <c r="G19" s="36"/>
      <c r="H19" s="37" t="s">
        <v>411</v>
      </c>
      <c r="I19" s="36">
        <v>2</v>
      </c>
      <c r="J19" s="37" t="s">
        <v>411</v>
      </c>
      <c r="K19" s="36">
        <v>2</v>
      </c>
      <c r="X19" s="36"/>
      <c r="Y19" s="36"/>
      <c r="Z19" s="36" t="s">
        <v>409</v>
      </c>
      <c r="AA19" s="36">
        <v>2</v>
      </c>
    </row>
    <row r="20" spans="1:29" x14ac:dyDescent="0.35">
      <c r="F20" s="36"/>
      <c r="G20" s="36"/>
      <c r="H20" s="37"/>
      <c r="I20" s="36"/>
      <c r="J20" s="37"/>
      <c r="K20" s="36"/>
      <c r="X20" s="36"/>
      <c r="Y20" s="36"/>
      <c r="Z20" s="36"/>
      <c r="AA20" s="36"/>
    </row>
    <row r="21" spans="1:29" x14ac:dyDescent="0.35">
      <c r="F21" s="36"/>
      <c r="G21" s="36"/>
      <c r="H21" s="37"/>
      <c r="I21" s="36"/>
      <c r="J21" s="37"/>
      <c r="K21" s="36"/>
      <c r="X21" s="36"/>
      <c r="Y21" s="36"/>
      <c r="Z21" s="36"/>
      <c r="AA21" s="36"/>
    </row>
    <row r="22" spans="1:29" x14ac:dyDescent="0.35">
      <c r="A22" t="s">
        <v>370</v>
      </c>
      <c r="C22">
        <f>MIN(Branch[Factor])</f>
        <v>1</v>
      </c>
      <c r="E22">
        <f>MIN(States[Factor])</f>
        <v>1</v>
      </c>
      <c r="G22">
        <f>MIN(NCM[Factor])</f>
        <v>1</v>
      </c>
      <c r="H22" s="37"/>
      <c r="I22">
        <v>0</v>
      </c>
      <c r="J22" s="37"/>
      <c r="K22">
        <v>0</v>
      </c>
      <c r="M22">
        <v>0</v>
      </c>
      <c r="O22">
        <v>0</v>
      </c>
      <c r="Q22">
        <f>MIN(ICMSST_Sales_ShipFromStates[Factor])</f>
        <v>0</v>
      </c>
      <c r="R22" s="36"/>
      <c r="S22">
        <f>MIN(ICMSST_Sales_ShipToStates[Factor])</f>
        <v>0</v>
      </c>
      <c r="U22">
        <v>0</v>
      </c>
      <c r="W22">
        <v>0</v>
      </c>
      <c r="Y22">
        <f>MIN(ICMSST_NCM[Factor])</f>
        <v>1</v>
      </c>
      <c r="AA22">
        <f>MIN(ISS_Municipalities[Factor])</f>
        <v>0</v>
      </c>
      <c r="AC22">
        <f>MIN(ISS_ServiceCodes[Factor])</f>
        <v>0</v>
      </c>
    </row>
    <row r="23" spans="1:29" x14ac:dyDescent="0.35">
      <c r="A23" t="s">
        <v>371</v>
      </c>
      <c r="C23">
        <f>MAX(Branch[Factor])</f>
        <v>2</v>
      </c>
      <c r="E23">
        <f>MAX(States[Factor])</f>
        <v>2</v>
      </c>
      <c r="G23">
        <f>MAX(NCM[Factor])</f>
        <v>2</v>
      </c>
      <c r="I23">
        <f>MAX(Sales_NumberOfLines[Factor])</f>
        <v>2</v>
      </c>
      <c r="K23">
        <f>MAX(Purchases_NumberOfLines[Factor])</f>
        <v>2</v>
      </c>
      <c r="M23">
        <v>2</v>
      </c>
      <c r="O23">
        <v>2</v>
      </c>
      <c r="Q23">
        <v>2</v>
      </c>
      <c r="S23">
        <v>2</v>
      </c>
      <c r="U23">
        <v>2</v>
      </c>
      <c r="W23">
        <v>2</v>
      </c>
      <c r="Y23">
        <f>MAX(ICMSST_NCM[Factor])</f>
        <v>2</v>
      </c>
      <c r="AA23">
        <f>MAX(ISS_Municipalities[Factor])</f>
        <v>2</v>
      </c>
      <c r="AC23">
        <f>MAX(ISS_ServiceCodes[Factor])</f>
        <v>2</v>
      </c>
    </row>
    <row r="24" spans="1:29" x14ac:dyDescent="0.35">
      <c r="C24" s="38"/>
    </row>
    <row r="25" spans="1:29" x14ac:dyDescent="0.35">
      <c r="C25" s="38"/>
      <c r="I25" s="39"/>
      <c r="J25" s="39"/>
      <c r="K25" s="39"/>
      <c r="L25" s="39"/>
    </row>
    <row r="26" spans="1:29" x14ac:dyDescent="0.35">
      <c r="F26" s="31" t="s">
        <v>412</v>
      </c>
      <c r="G26" s="31" t="s">
        <v>372</v>
      </c>
      <c r="H26" s="31" t="s">
        <v>413</v>
      </c>
      <c r="I26" s="39"/>
      <c r="J26">
        <f>SUM(C22:ZZ22)</f>
        <v>4</v>
      </c>
      <c r="K26" s="39" t="s">
        <v>414</v>
      </c>
      <c r="L26" s="31" t="s">
        <v>199</v>
      </c>
    </row>
    <row r="27" spans="1:29" x14ac:dyDescent="0.35">
      <c r="F27" t="e">
        <f>SUM('Brazil Est'!E5:E15)</f>
        <v>#REF!</v>
      </c>
      <c r="G27">
        <f>(SUM('Brazil Est'!J5:J25))</f>
        <v>4</v>
      </c>
      <c r="H27" t="e">
        <f>G27*F27</f>
        <v>#REF!</v>
      </c>
      <c r="I27" s="39"/>
      <c r="J27">
        <f>SUM(C23:ZZ23)</f>
        <v>28</v>
      </c>
      <c r="K27" s="39" t="s">
        <v>415</v>
      </c>
      <c r="L27" s="36">
        <v>100</v>
      </c>
    </row>
    <row r="28" spans="1:29" x14ac:dyDescent="0.35">
      <c r="F28" s="40" t="e">
        <f>IF(1+(3-1)*((F27-J28)/(K28-J28))&gt;0,1+(3-1)*((F27-J28)/(K28-J28)),0)</f>
        <v>#REF!</v>
      </c>
      <c r="H28" s="41" t="e">
        <f>IF(1+(6-1)*((H27-J30)/(K30-J30))&gt;0,1+(6-1)*((H27-J30)/(K30-J30)),0)</f>
        <v>#REF!</v>
      </c>
      <c r="I28" s="39" t="s">
        <v>416</v>
      </c>
      <c r="J28" s="39">
        <f>M9</f>
        <v>5</v>
      </c>
      <c r="K28" s="39">
        <f>M10</f>
        <v>8.5</v>
      </c>
      <c r="L28" s="36">
        <v>125</v>
      </c>
    </row>
    <row r="29" spans="1:29" x14ac:dyDescent="0.35">
      <c r="C29" s="31" t="s">
        <v>417</v>
      </c>
      <c r="D29" s="31" t="s">
        <v>418</v>
      </c>
      <c r="E29" s="31" t="s">
        <v>419</v>
      </c>
      <c r="F29" s="31" t="s">
        <v>420</v>
      </c>
      <c r="I29" s="39" t="s">
        <v>372</v>
      </c>
      <c r="J29" s="39">
        <f>J26</f>
        <v>4</v>
      </c>
      <c r="K29" s="39">
        <f>J27</f>
        <v>28</v>
      </c>
      <c r="L29" s="36">
        <v>150</v>
      </c>
    </row>
    <row r="30" spans="1:29" x14ac:dyDescent="0.35">
      <c r="B30">
        <v>1</v>
      </c>
      <c r="C30" s="42" t="str">
        <f>'Brazil Est'!C31</f>
        <v xml:space="preserve">ONESOURCE Kickoff, Guidance and Control  </v>
      </c>
      <c r="D30" s="42">
        <v>60</v>
      </c>
      <c r="E30" s="43"/>
      <c r="F30" s="44" t="e">
        <f>('Brazil Est'!D11*20)</f>
        <v>#REF!</v>
      </c>
      <c r="G30" s="45">
        <v>60</v>
      </c>
      <c r="I30" s="39"/>
      <c r="J30" s="39">
        <f>J29*J28</f>
        <v>20</v>
      </c>
      <c r="K30" s="39">
        <f>K29*K28</f>
        <v>238</v>
      </c>
      <c r="L30" s="39"/>
    </row>
    <row r="31" spans="1:29" x14ac:dyDescent="0.35">
      <c r="B31">
        <v>2</v>
      </c>
      <c r="C31" s="42" t="str">
        <f>'Brazil Est'!C32</f>
        <v>ONESOURCE Technical Requirements, Architecture &amp; Performance</v>
      </c>
      <c r="D31" s="42">
        <v>20</v>
      </c>
      <c r="E31" s="42"/>
      <c r="F31" s="46" t="e">
        <f>IF(F30=60,20,40)</f>
        <v>#REF!</v>
      </c>
      <c r="G31" s="45">
        <v>20</v>
      </c>
      <c r="I31" s="39"/>
      <c r="J31" s="39"/>
      <c r="K31" s="39"/>
      <c r="L31" s="39"/>
    </row>
    <row r="32" spans="1:29" x14ac:dyDescent="0.35">
      <c r="B32">
        <v>3</v>
      </c>
      <c r="C32" s="42" t="str">
        <f>'Brazil Est'!C33</f>
        <v>ONESOURCE Functional Requirements</v>
      </c>
      <c r="D32" s="42">
        <v>60</v>
      </c>
      <c r="E32" s="42"/>
      <c r="F32" s="47" t="e">
        <f>ROUNDDOWN(D32*$H$28,-1)</f>
        <v>#REF!</v>
      </c>
      <c r="G32" s="45">
        <v>60</v>
      </c>
      <c r="I32" s="39"/>
      <c r="J32" s="39"/>
      <c r="K32" s="39"/>
      <c r="L32" s="39"/>
    </row>
    <row r="33" spans="2:16" x14ac:dyDescent="0.35">
      <c r="B33">
        <v>4</v>
      </c>
      <c r="C33" s="42" t="e">
        <f>'Brazil Est'!C34</f>
        <v>#REF!</v>
      </c>
      <c r="D33" s="42">
        <v>60</v>
      </c>
      <c r="E33" s="42"/>
      <c r="F33" s="46" t="e">
        <f>VLOOKUP('Brazil Est'!D10,Host[],2,FALSE)</f>
        <v>#REF!</v>
      </c>
      <c r="G33" s="45">
        <v>60</v>
      </c>
      <c r="H33">
        <v>0</v>
      </c>
      <c r="I33" s="39"/>
      <c r="J33" s="39"/>
      <c r="K33" s="39"/>
      <c r="L33" s="39">
        <f>1.6/1</f>
        <v>1.6</v>
      </c>
    </row>
    <row r="34" spans="2:16" x14ac:dyDescent="0.35">
      <c r="B34">
        <v>5</v>
      </c>
      <c r="C34" s="42" t="str">
        <f>'Brazil Est'!C35</f>
        <v>ONESOURCE Configuration &amp; ERP Integration</v>
      </c>
      <c r="D34" s="42">
        <v>120</v>
      </c>
      <c r="E34" s="42"/>
      <c r="F34" s="47" t="e">
        <f>ROUND(D34*$H$28,-1)</f>
        <v>#REF!</v>
      </c>
      <c r="G34" s="45">
        <v>160</v>
      </c>
      <c r="H34" t="e">
        <f>ROUND(F34*35%,-1)</f>
        <v>#REF!</v>
      </c>
      <c r="I34" s="39" t="e">
        <f>E30/F27</f>
        <v>#REF!</v>
      </c>
      <c r="J34" s="39"/>
      <c r="K34" s="39"/>
      <c r="L34" s="39"/>
    </row>
    <row r="35" spans="2:16" x14ac:dyDescent="0.35">
      <c r="B35">
        <v>6</v>
      </c>
      <c r="C35" s="42" t="str">
        <f>'Brazil Est'!C36</f>
        <v>Fiscal Operations and Use Case Definition Requirements</v>
      </c>
      <c r="D35" s="42">
        <v>40</v>
      </c>
      <c r="E35" s="42"/>
      <c r="F35" s="47">
        <f>VLOOKUP('Brazil Est'!D15,Implementation_Model[],2,FALSE)</f>
        <v>40</v>
      </c>
      <c r="G35" s="45">
        <v>40</v>
      </c>
      <c r="I35" s="39">
        <f>2.5*1.6</f>
        <v>4</v>
      </c>
      <c r="J35" s="39"/>
      <c r="K35" s="39"/>
      <c r="L35" s="39"/>
    </row>
    <row r="36" spans="2:16" x14ac:dyDescent="0.35">
      <c r="B36">
        <v>7</v>
      </c>
      <c r="C36" s="42" t="str">
        <f>'Brazil Est'!C37</f>
        <v>ONESOURCE Content - Premium +</v>
      </c>
      <c r="D36" s="42" t="s">
        <v>421</v>
      </c>
      <c r="E36" s="42"/>
      <c r="F36" s="42" t="s">
        <v>182</v>
      </c>
      <c r="G36" s="45"/>
      <c r="I36" s="39" t="e">
        <f>G32/H27</f>
        <v>#REF!</v>
      </c>
      <c r="J36" s="39"/>
      <c r="K36" s="39"/>
      <c r="L36" s="39"/>
    </row>
    <row r="37" spans="2:16" x14ac:dyDescent="0.35">
      <c r="B37">
        <v>8</v>
      </c>
      <c r="C37" s="42" t="str">
        <f>'Brazil Est'!C38</f>
        <v>ONESOURCE Testing, UAT and Tax Determination Scenarios</v>
      </c>
      <c r="D37" s="42">
        <v>60</v>
      </c>
      <c r="E37" s="42"/>
      <c r="F37" s="44" t="e">
        <f>VLOOKUP('Brazil Est'!D12,Test[],2,FALSE)</f>
        <v>#REF!</v>
      </c>
      <c r="G37" s="45">
        <v>60</v>
      </c>
      <c r="I37" s="39"/>
      <c r="J37" s="39"/>
      <c r="K37" s="39"/>
      <c r="L37" s="39"/>
      <c r="P37">
        <f>25/79.5</f>
        <v>0.31446540880503143</v>
      </c>
    </row>
    <row r="38" spans="2:16" x14ac:dyDescent="0.35">
      <c r="B38">
        <v>9</v>
      </c>
      <c r="C38" s="42" t="str">
        <f>'Brazil Est'!C39</f>
        <v>ONESOURCE Production Readiness, Go Live, Stabilization</v>
      </c>
      <c r="D38" s="42">
        <v>40</v>
      </c>
      <c r="E38" s="42"/>
      <c r="F38" s="44" t="e">
        <f>VLOOKUP('Brazil Est'!D13,Support[],2,FALSE)</f>
        <v>#REF!</v>
      </c>
      <c r="G38" s="45">
        <v>40</v>
      </c>
      <c r="I38" s="39"/>
      <c r="J38" s="39"/>
      <c r="K38" s="39"/>
      <c r="L38" s="39"/>
    </row>
    <row r="39" spans="2:16" x14ac:dyDescent="0.35">
      <c r="C39" s="48"/>
      <c r="D39" s="48">
        <f>SUM(D30:D38)</f>
        <v>460</v>
      </c>
      <c r="E39" s="48"/>
      <c r="F39" s="48" t="e">
        <f>SUM(F30:F38)</f>
        <v>#REF!</v>
      </c>
      <c r="G39" s="48">
        <f>SUM(G30:G38)</f>
        <v>500</v>
      </c>
      <c r="I39" s="39"/>
      <c r="J39" s="39"/>
      <c r="K39" s="39"/>
      <c r="L39" s="39"/>
    </row>
    <row r="40" spans="2:16" x14ac:dyDescent="0.35">
      <c r="C40" s="49"/>
      <c r="I40" s="39"/>
      <c r="J40" s="39"/>
      <c r="K40" s="39"/>
      <c r="L40" s="39"/>
    </row>
    <row r="41" spans="2:16" x14ac:dyDescent="0.35">
      <c r="I41" s="39"/>
      <c r="J41" s="39"/>
      <c r="K41" s="39"/>
      <c r="L41" s="39"/>
    </row>
    <row r="42" spans="2:16" x14ac:dyDescent="0.35">
      <c r="C42" s="31" t="s">
        <v>422</v>
      </c>
      <c r="D42" s="31" t="s">
        <v>423</v>
      </c>
    </row>
    <row r="43" spans="2:16" x14ac:dyDescent="0.35">
      <c r="B43" s="32">
        <v>1</v>
      </c>
      <c r="C43" s="32" t="s">
        <v>219</v>
      </c>
      <c r="D43" s="33">
        <v>10000</v>
      </c>
    </row>
    <row r="44" spans="2:16" x14ac:dyDescent="0.35">
      <c r="B44" s="32">
        <v>2</v>
      </c>
      <c r="C44" s="32" t="s">
        <v>424</v>
      </c>
      <c r="D44" s="33">
        <v>6500</v>
      </c>
    </row>
    <row r="45" spans="2:16" x14ac:dyDescent="0.35">
      <c r="B45" s="32">
        <v>3</v>
      </c>
      <c r="C45" s="32" t="s">
        <v>425</v>
      </c>
      <c r="D45" s="33">
        <v>6500</v>
      </c>
    </row>
    <row r="46" spans="2:16" x14ac:dyDescent="0.35">
      <c r="B46" s="32">
        <v>4</v>
      </c>
      <c r="C46" s="32" t="s">
        <v>426</v>
      </c>
      <c r="D46" s="33">
        <v>10000</v>
      </c>
    </row>
    <row r="49" spans="3:11" x14ac:dyDescent="0.35">
      <c r="C49" s="31" t="s">
        <v>427</v>
      </c>
      <c r="D49" s="31"/>
    </row>
    <row r="50" spans="3:11" x14ac:dyDescent="0.35">
      <c r="C50" s="50" t="s">
        <v>428</v>
      </c>
      <c r="H50" s="344" t="s">
        <v>429</v>
      </c>
      <c r="I50" s="344"/>
      <c r="J50" s="344"/>
    </row>
    <row r="51" spans="3:11" x14ac:dyDescent="0.35">
      <c r="C51" s="36" t="s">
        <v>387</v>
      </c>
      <c r="D51">
        <v>100</v>
      </c>
      <c r="H51" t="s">
        <v>143</v>
      </c>
      <c r="I51" t="e">
        <f>'Brazil Est'!I7</f>
        <v>#REF!</v>
      </c>
      <c r="J51" t="e">
        <f>VLOOKUP(I51,C51:D56,2,FALSE)</f>
        <v>#REF!</v>
      </c>
    </row>
    <row r="52" spans="3:11" x14ac:dyDescent="0.35">
      <c r="C52" s="36" t="s">
        <v>393</v>
      </c>
      <c r="D52">
        <v>250</v>
      </c>
      <c r="H52" t="s">
        <v>430</v>
      </c>
      <c r="I52" t="e">
        <f>'Brazil Est'!#REF!</f>
        <v>#REF!</v>
      </c>
      <c r="J52" t="e">
        <f>VLOOKUP(I52,C58:D61,2,FALSE)</f>
        <v>#REF!</v>
      </c>
    </row>
    <row r="53" spans="3:11" x14ac:dyDescent="0.35">
      <c r="C53" s="36" t="s">
        <v>398</v>
      </c>
      <c r="D53">
        <v>400</v>
      </c>
      <c r="H53" t="s">
        <v>373</v>
      </c>
      <c r="I53" t="str">
        <f>'Brazil Est'!I6</f>
        <v>&gt;18 States</v>
      </c>
      <c r="J53" t="e">
        <f>VLOOKUP(I53,C63:D66,2,FALSE)</f>
        <v>#N/A</v>
      </c>
    </row>
    <row r="54" spans="3:11" x14ac:dyDescent="0.35">
      <c r="C54" s="36" t="s">
        <v>403</v>
      </c>
      <c r="D54">
        <v>700</v>
      </c>
    </row>
    <row r="55" spans="3:11" x14ac:dyDescent="0.35">
      <c r="C55" s="36" t="s">
        <v>407</v>
      </c>
      <c r="D55">
        <v>1000</v>
      </c>
    </row>
    <row r="56" spans="3:11" x14ac:dyDescent="0.35">
      <c r="C56" s="36" t="s">
        <v>409</v>
      </c>
      <c r="D56">
        <v>1500</v>
      </c>
      <c r="H56" s="344" t="s">
        <v>431</v>
      </c>
      <c r="I56" s="344"/>
      <c r="J56" s="344"/>
    </row>
    <row r="57" spans="3:11" x14ac:dyDescent="0.35">
      <c r="C57" s="50" t="s">
        <v>432</v>
      </c>
      <c r="H57" s="20" t="s">
        <v>433</v>
      </c>
      <c r="I57" s="20"/>
      <c r="J57" s="20"/>
      <c r="K57" s="20"/>
    </row>
    <row r="58" spans="3:11" x14ac:dyDescent="0.35">
      <c r="C58" t="s">
        <v>388</v>
      </c>
      <c r="D58">
        <v>0</v>
      </c>
      <c r="H58" s="20" t="s">
        <v>434</v>
      </c>
      <c r="I58" s="20"/>
      <c r="J58" s="20"/>
      <c r="K58" s="20"/>
    </row>
    <row r="59" spans="3:11" x14ac:dyDescent="0.35">
      <c r="C59" t="s">
        <v>435</v>
      </c>
      <c r="D59">
        <v>0.25</v>
      </c>
      <c r="H59" s="24" t="s">
        <v>436</v>
      </c>
      <c r="I59" s="24" t="s">
        <v>437</v>
      </c>
      <c r="J59" s="24" t="s">
        <v>438</v>
      </c>
      <c r="K59" s="24" t="s">
        <v>332</v>
      </c>
    </row>
    <row r="60" spans="3:11" x14ac:dyDescent="0.35">
      <c r="C60" t="s">
        <v>439</v>
      </c>
      <c r="D60">
        <v>0.5</v>
      </c>
      <c r="H60" s="24" t="s">
        <v>440</v>
      </c>
      <c r="I60" s="24">
        <v>0.1</v>
      </c>
      <c r="J60" s="24">
        <f>IF('Premium Content Estimator'!$B$5&gt;=100,100,'Premium Content Estimator'!$B$5)</f>
        <v>0</v>
      </c>
      <c r="K60" s="24">
        <f>J60*I60</f>
        <v>0</v>
      </c>
    </row>
    <row r="61" spans="3:11" x14ac:dyDescent="0.35">
      <c r="C61" s="38" t="s">
        <v>441</v>
      </c>
      <c r="D61">
        <v>0.75</v>
      </c>
      <c r="H61" s="24" t="s">
        <v>442</v>
      </c>
      <c r="I61" s="24">
        <v>0.08</v>
      </c>
      <c r="J61" s="24">
        <f>IF('Premium Content Estimator'!$B$5&gt;=200,100,IF('Premium Content Estimator'!$B$5&gt;100,ABS(100-'Premium Content Estimator'!$B$5),0))</f>
        <v>0</v>
      </c>
      <c r="K61" s="24">
        <f>J61*I61</f>
        <v>0</v>
      </c>
    </row>
    <row r="62" spans="3:11" x14ac:dyDescent="0.35">
      <c r="C62" s="50" t="s">
        <v>173</v>
      </c>
      <c r="H62" s="24" t="s">
        <v>443</v>
      </c>
      <c r="I62" s="24">
        <v>0.05</v>
      </c>
      <c r="J62" s="24">
        <f>IF('Premium Content Estimator'!$B$5&gt;=201,'Premium Content Estimator'!$B$5-200,0)</f>
        <v>0</v>
      </c>
      <c r="K62" s="24">
        <f>J62*I62</f>
        <v>0</v>
      </c>
    </row>
    <row r="63" spans="3:11" x14ac:dyDescent="0.35">
      <c r="C63" s="36" t="s">
        <v>388</v>
      </c>
      <c r="D63">
        <v>0</v>
      </c>
      <c r="H63" s="24"/>
      <c r="I63" s="24"/>
      <c r="J63" s="24" t="str">
        <f>IF(SUM(J60:J62)='Premium Content Estimator'!B5,"",ERROR)</f>
        <v/>
      </c>
      <c r="K63" s="24">
        <f>SUM(K60:K62)</f>
        <v>0</v>
      </c>
    </row>
    <row r="64" spans="3:11" x14ac:dyDescent="0.35">
      <c r="C64" s="36" t="s">
        <v>444</v>
      </c>
      <c r="D64">
        <v>3</v>
      </c>
      <c r="H64" s="20"/>
      <c r="I64" s="20"/>
      <c r="J64" s="20"/>
      <c r="K64" s="20"/>
    </row>
    <row r="65" spans="3:11" x14ac:dyDescent="0.35">
      <c r="C65" s="37" t="s">
        <v>445</v>
      </c>
      <c r="D65">
        <v>8</v>
      </c>
      <c r="H65" s="20" t="s">
        <v>446</v>
      </c>
      <c r="I65" s="20"/>
      <c r="J65" s="20"/>
      <c r="K65" s="20"/>
    </row>
    <row r="66" spans="3:11" x14ac:dyDescent="0.35">
      <c r="C66" s="36" t="s">
        <v>447</v>
      </c>
      <c r="D66">
        <v>20</v>
      </c>
      <c r="H66" s="24" t="s">
        <v>440</v>
      </c>
      <c r="I66" s="24">
        <v>0.05</v>
      </c>
      <c r="J66" s="24">
        <f>IF('Premium Content Estimator'!$B$5&gt;=100,100,'Premium Content Estimator'!$B$5)</f>
        <v>0</v>
      </c>
      <c r="K66" s="24">
        <f>J66*I66</f>
        <v>0</v>
      </c>
    </row>
    <row r="67" spans="3:11" x14ac:dyDescent="0.35">
      <c r="H67" s="24" t="s">
        <v>442</v>
      </c>
      <c r="I67" s="24">
        <f>3/100</f>
        <v>0.03</v>
      </c>
      <c r="J67" s="24">
        <f>IF('Premium Content Estimator'!$B$5&gt;=200,100,IF('Premium Content Estimator'!$B$5&gt;100,ABS(100-'Premium Content Estimator'!$B$5),0))</f>
        <v>0</v>
      </c>
      <c r="K67" s="24">
        <f>J67*I67</f>
        <v>0</v>
      </c>
    </row>
    <row r="68" spans="3:11" x14ac:dyDescent="0.35">
      <c r="H68" s="24" t="s">
        <v>443</v>
      </c>
      <c r="I68" s="24">
        <f>2/100</f>
        <v>0.02</v>
      </c>
      <c r="J68" s="24">
        <f>IF('Premium Content Estimator'!$B$5&gt;=201,'Premium Content Estimator'!$B$5-200,0)</f>
        <v>0</v>
      </c>
      <c r="K68" s="24">
        <f>J68*I68</f>
        <v>0</v>
      </c>
    </row>
    <row r="69" spans="3:11" x14ac:dyDescent="0.35">
      <c r="H69" s="24"/>
      <c r="I69" s="24"/>
      <c r="J69" s="24"/>
      <c r="K69" s="24">
        <f>SUM(K66:K68)</f>
        <v>0</v>
      </c>
    </row>
    <row r="70" spans="3:11" x14ac:dyDescent="0.35">
      <c r="H70" s="20" t="s">
        <v>448</v>
      </c>
      <c r="I70" s="20"/>
      <c r="J70" s="20"/>
      <c r="K70" s="20"/>
    </row>
    <row r="71" spans="3:11" x14ac:dyDescent="0.35">
      <c r="H71" s="24" t="s">
        <v>440</v>
      </c>
      <c r="I71" s="24">
        <v>0.04</v>
      </c>
      <c r="J71" s="24">
        <f>IF('Premium Content Estimator'!$B$5&gt;=100,100,'Premium Content Estimator'!$B$5)</f>
        <v>0</v>
      </c>
      <c r="K71" s="24">
        <f>J71*I71</f>
        <v>0</v>
      </c>
    </row>
    <row r="72" spans="3:11" x14ac:dyDescent="0.35">
      <c r="H72" s="24" t="s">
        <v>442</v>
      </c>
      <c r="I72" s="24">
        <v>0.02</v>
      </c>
      <c r="J72" s="24">
        <f>IF('Premium Content Estimator'!$B$5&gt;=200,100,IF('Premium Content Estimator'!$B$5&gt;100,ABS(100-'Premium Content Estimator'!$B$5),0))</f>
        <v>0</v>
      </c>
      <c r="K72" s="24">
        <f>J72*I72</f>
        <v>0</v>
      </c>
    </row>
    <row r="73" spans="3:11" x14ac:dyDescent="0.35">
      <c r="H73" s="24" t="s">
        <v>443</v>
      </c>
      <c r="I73" s="24">
        <v>1.4999999999999999E-2</v>
      </c>
      <c r="J73" s="24">
        <f>IF('Premium Content Estimator'!$B$5&gt;=201,'Premium Content Estimator'!$B$5-200,0)</f>
        <v>0</v>
      </c>
      <c r="K73" s="24">
        <f>J73*I73</f>
        <v>0</v>
      </c>
    </row>
    <row r="74" spans="3:11" x14ac:dyDescent="0.35">
      <c r="H74" s="24"/>
      <c r="I74" s="24"/>
      <c r="J74" s="24"/>
      <c r="K74" s="24">
        <f>SUM(K71:K73)</f>
        <v>0</v>
      </c>
    </row>
    <row r="75" spans="3:11" x14ac:dyDescent="0.35">
      <c r="C75" t="s">
        <v>339</v>
      </c>
      <c r="D75" t="s">
        <v>344</v>
      </c>
      <c r="E75" t="s">
        <v>449</v>
      </c>
      <c r="F75" t="s">
        <v>450</v>
      </c>
      <c r="G75" t="s">
        <v>451</v>
      </c>
      <c r="H75" s="20" t="s">
        <v>452</v>
      </c>
      <c r="I75" s="20">
        <f>1.333/100</f>
        <v>1.333E-2</v>
      </c>
      <c r="J75" s="20"/>
      <c r="K75" s="20"/>
    </row>
    <row r="76" spans="3:11" x14ac:dyDescent="0.35">
      <c r="C76" t="s">
        <v>344</v>
      </c>
      <c r="D76" t="s">
        <v>346</v>
      </c>
      <c r="E76" t="s">
        <v>346</v>
      </c>
      <c r="F76" t="s">
        <v>346</v>
      </c>
      <c r="G76" t="s">
        <v>346</v>
      </c>
      <c r="H76" s="20"/>
      <c r="I76" s="20"/>
      <c r="J76" s="20"/>
      <c r="K76" s="20"/>
    </row>
    <row r="77" spans="3:11" x14ac:dyDescent="0.35">
      <c r="C77" t="s">
        <v>453</v>
      </c>
      <c r="D77" t="s">
        <v>353</v>
      </c>
      <c r="E77" t="s">
        <v>353</v>
      </c>
      <c r="G77" t="s">
        <v>353</v>
      </c>
      <c r="H77" s="20" t="s">
        <v>454</v>
      </c>
      <c r="I77" s="20"/>
      <c r="J77" s="20"/>
      <c r="K77" s="20"/>
    </row>
    <row r="78" spans="3:11" x14ac:dyDescent="0.35">
      <c r="C78" t="s">
        <v>368</v>
      </c>
      <c r="D78" t="s">
        <v>363</v>
      </c>
      <c r="E78" t="s">
        <v>363</v>
      </c>
      <c r="G78" t="s">
        <v>363</v>
      </c>
      <c r="H78" s="24" t="s">
        <v>455</v>
      </c>
      <c r="I78" s="24">
        <v>1</v>
      </c>
      <c r="J78" s="24">
        <f>IF('Premium Content Estimator'!$B$6&gt;9,9,9-'Premium Content Estimator'!$B$6)</f>
        <v>8</v>
      </c>
      <c r="K78" s="24">
        <f>J78*I78</f>
        <v>8</v>
      </c>
    </row>
    <row r="79" spans="3:11" x14ac:dyDescent="0.35">
      <c r="H79" s="24" t="s">
        <v>456</v>
      </c>
      <c r="I79" s="24">
        <v>0.8</v>
      </c>
      <c r="J79" s="24">
        <f>IF('Premium Content Estimator'!$B$6&gt;18,9,ABS(9-'Premium Content Estimator'!$B$6))</f>
        <v>8</v>
      </c>
      <c r="K79" s="24">
        <f>J79*I79</f>
        <v>6.4</v>
      </c>
    </row>
    <row r="80" spans="3:11" x14ac:dyDescent="0.35">
      <c r="H80" s="24" t="s">
        <v>457</v>
      </c>
      <c r="I80" s="24">
        <v>0.5</v>
      </c>
      <c r="J80" s="24">
        <f>IF('Premium Content Estimator'!$B$6&gt;=19,27-'Premium Content Estimator'!$B$6,0)</f>
        <v>0</v>
      </c>
      <c r="K80" s="24">
        <f>J80*I80</f>
        <v>0</v>
      </c>
    </row>
    <row r="81" spans="8:11" x14ac:dyDescent="0.35">
      <c r="H81" s="24"/>
      <c r="I81" s="24"/>
      <c r="J81" s="24"/>
      <c r="K81" s="24">
        <f>SUM(K78:K80)</f>
        <v>14.4</v>
      </c>
    </row>
    <row r="82" spans="8:11" x14ac:dyDescent="0.35">
      <c r="H82" s="20"/>
      <c r="I82" s="20"/>
      <c r="J82" s="20"/>
      <c r="K82" s="20"/>
    </row>
  </sheetData>
  <mergeCells count="4">
    <mergeCell ref="B2:U2"/>
    <mergeCell ref="B11:L11"/>
    <mergeCell ref="H50:J50"/>
    <mergeCell ref="H56:J56"/>
  </mergeCells>
  <pageMargins left="0.7" right="0.7" top="0.75" bottom="0.75" header="0.3" footer="0.3"/>
  <pageSetup orientation="portrait" r:id="rId1"/>
  <legacyDrawing r:id="rId2"/>
  <tableParts count="2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61"/>
  <dimension ref="A1:L50"/>
  <sheetViews>
    <sheetView topLeftCell="A18" workbookViewId="0">
      <selection activeCell="K42" sqref="K42"/>
    </sheetView>
  </sheetViews>
  <sheetFormatPr defaultRowHeight="14.5" x14ac:dyDescent="0.35"/>
  <cols>
    <col min="1" max="1" width="41.54296875" bestFit="1" customWidth="1"/>
    <col min="2" max="2" width="12.54296875" bestFit="1" customWidth="1"/>
    <col min="4" max="4" width="41.54296875" bestFit="1" customWidth="1"/>
    <col min="5" max="5" width="12.54296875" bestFit="1" customWidth="1"/>
    <col min="7" max="7" width="60" customWidth="1"/>
    <col min="8" max="8" width="42.453125" bestFit="1" customWidth="1"/>
    <col min="9" max="9" width="12.54296875" bestFit="1" customWidth="1"/>
    <col min="10" max="10" width="11.453125" customWidth="1"/>
    <col min="11" max="11" width="55.54296875" customWidth="1"/>
    <col min="12" max="12" width="56.453125" bestFit="1" customWidth="1"/>
  </cols>
  <sheetData>
    <row r="1" spans="1:12" x14ac:dyDescent="0.35">
      <c r="A1" s="345" t="s">
        <v>208</v>
      </c>
      <c r="B1" s="345"/>
      <c r="C1" s="345"/>
      <c r="D1" s="345"/>
      <c r="K1" s="158" t="s">
        <v>458</v>
      </c>
      <c r="L1" s="158" t="s">
        <v>459</v>
      </c>
    </row>
    <row r="2" spans="1:12" x14ac:dyDescent="0.35">
      <c r="A2">
        <f>1+(6-1)*(((B4*B5)-25)/(104.5-25))</f>
        <v>5.3081761006289305</v>
      </c>
      <c r="K2" s="212" t="s">
        <v>460</v>
      </c>
      <c r="L2" s="212" t="s">
        <v>237</v>
      </c>
    </row>
    <row r="3" spans="1:12" x14ac:dyDescent="0.35">
      <c r="A3">
        <f>ROUNDDOWN(60*A2,-1)</f>
        <v>310</v>
      </c>
      <c r="K3" s="167" t="s">
        <v>461</v>
      </c>
      <c r="L3" s="167" t="s">
        <v>461</v>
      </c>
    </row>
    <row r="4" spans="1:12" x14ac:dyDescent="0.35">
      <c r="A4" t="s">
        <v>462</v>
      </c>
      <c r="B4">
        <v>11</v>
      </c>
      <c r="D4">
        <f>SUM(B4:B5)</f>
        <v>19.5</v>
      </c>
      <c r="K4" s="167" t="s">
        <v>463</v>
      </c>
      <c r="L4" s="167" t="s">
        <v>464</v>
      </c>
    </row>
    <row r="5" spans="1:12" ht="26.5" x14ac:dyDescent="0.35">
      <c r="A5" t="s">
        <v>465</v>
      </c>
      <c r="B5">
        <v>8.5</v>
      </c>
      <c r="K5" s="213" t="s">
        <v>466</v>
      </c>
      <c r="L5" s="213" t="s">
        <v>243</v>
      </c>
    </row>
    <row r="6" spans="1:12" x14ac:dyDescent="0.35">
      <c r="K6" s="167" t="s">
        <v>83</v>
      </c>
      <c r="L6" s="167" t="s">
        <v>467</v>
      </c>
    </row>
    <row r="7" spans="1:12" x14ac:dyDescent="0.35">
      <c r="A7" s="345" t="s">
        <v>209</v>
      </c>
      <c r="B7" s="345"/>
      <c r="C7" s="345"/>
      <c r="D7" s="345"/>
      <c r="K7" s="167" t="s">
        <v>84</v>
      </c>
      <c r="L7" s="167" t="s">
        <v>262</v>
      </c>
    </row>
    <row r="8" spans="1:12" x14ac:dyDescent="0.35">
      <c r="A8">
        <f>1+(6-1)*(((B10*B11)-25)/(104.5-25))</f>
        <v>5.3081761006289305</v>
      </c>
      <c r="K8" s="167" t="s">
        <v>85</v>
      </c>
      <c r="L8" s="167" t="s">
        <v>468</v>
      </c>
    </row>
    <row r="9" spans="1:12" x14ac:dyDescent="0.35">
      <c r="A9">
        <f>ROUND(120*A8,-1)</f>
        <v>640</v>
      </c>
      <c r="K9" s="212" t="s">
        <v>469</v>
      </c>
      <c r="L9" s="212" t="s">
        <v>244</v>
      </c>
    </row>
    <row r="10" spans="1:12" x14ac:dyDescent="0.35">
      <c r="A10" t="s">
        <v>462</v>
      </c>
      <c r="B10">
        <v>11</v>
      </c>
      <c r="D10">
        <f>SUM(B10:B11)</f>
        <v>19.5</v>
      </c>
      <c r="K10" s="167" t="s">
        <v>80</v>
      </c>
      <c r="L10" s="167" t="s">
        <v>345</v>
      </c>
    </row>
    <row r="11" spans="1:12" x14ac:dyDescent="0.35">
      <c r="A11" t="s">
        <v>465</v>
      </c>
      <c r="B11">
        <v>8.5</v>
      </c>
      <c r="K11" s="167" t="s">
        <v>81</v>
      </c>
      <c r="L11" s="167" t="s">
        <v>470</v>
      </c>
    </row>
    <row r="12" spans="1:12" x14ac:dyDescent="0.35">
      <c r="G12" s="164" t="s">
        <v>203</v>
      </c>
      <c r="H12" s="165" t="s">
        <v>471</v>
      </c>
      <c r="I12" s="166" t="s">
        <v>472</v>
      </c>
      <c r="K12" s="167" t="s">
        <v>82</v>
      </c>
      <c r="L12" s="167" t="s">
        <v>473</v>
      </c>
    </row>
    <row r="13" spans="1:12" x14ac:dyDescent="0.35">
      <c r="G13" s="42" t="s">
        <v>206</v>
      </c>
      <c r="H13" s="42" t="s">
        <v>474</v>
      </c>
      <c r="I13" s="167" t="s">
        <v>475</v>
      </c>
      <c r="K13" s="212" t="s">
        <v>476</v>
      </c>
      <c r="L13" s="212" t="s">
        <v>245</v>
      </c>
    </row>
    <row r="14" spans="1:12" x14ac:dyDescent="0.35">
      <c r="G14" s="168" t="s">
        <v>207</v>
      </c>
      <c r="H14" s="168"/>
      <c r="I14" s="169">
        <v>40</v>
      </c>
      <c r="K14" s="167" t="s">
        <v>477</v>
      </c>
      <c r="L14" s="167" t="s">
        <v>347</v>
      </c>
    </row>
    <row r="15" spans="1:12" x14ac:dyDescent="0.35">
      <c r="G15" s="65" t="s">
        <v>208</v>
      </c>
      <c r="H15" s="65" t="s">
        <v>478</v>
      </c>
      <c r="I15" s="159" t="s">
        <v>479</v>
      </c>
      <c r="K15" s="167" t="s">
        <v>480</v>
      </c>
      <c r="L15" s="167" t="s">
        <v>354</v>
      </c>
    </row>
    <row r="16" spans="1:12" x14ac:dyDescent="0.35">
      <c r="G16" s="168" t="s">
        <v>481</v>
      </c>
      <c r="H16" s="168"/>
      <c r="I16" s="169">
        <v>80</v>
      </c>
      <c r="K16" s="167" t="s">
        <v>482</v>
      </c>
      <c r="L16" s="167" t="s">
        <v>364</v>
      </c>
    </row>
    <row r="17" spans="1:12" ht="39.5" x14ac:dyDescent="0.35">
      <c r="G17" s="65" t="s">
        <v>209</v>
      </c>
      <c r="H17" s="162" t="s">
        <v>483</v>
      </c>
      <c r="I17" s="159" t="s">
        <v>484</v>
      </c>
      <c r="J17" s="49"/>
      <c r="K17" s="167" t="s">
        <v>485</v>
      </c>
      <c r="L17" s="167" t="s">
        <v>369</v>
      </c>
    </row>
    <row r="18" spans="1:12" x14ac:dyDescent="0.35">
      <c r="G18" s="65" t="s">
        <v>210</v>
      </c>
      <c r="H18" s="65" t="s">
        <v>486</v>
      </c>
      <c r="I18" s="159" t="s">
        <v>487</v>
      </c>
      <c r="K18" s="158" t="s">
        <v>488</v>
      </c>
      <c r="L18" s="158" t="s">
        <v>489</v>
      </c>
    </row>
    <row r="19" spans="1:12" x14ac:dyDescent="0.35">
      <c r="G19" s="65" t="s">
        <v>490</v>
      </c>
      <c r="H19" s="65" t="s">
        <v>491</v>
      </c>
      <c r="I19" s="159"/>
      <c r="K19" s="212" t="s">
        <v>492</v>
      </c>
      <c r="L19" s="212" t="s">
        <v>493</v>
      </c>
    </row>
    <row r="20" spans="1:12" ht="26.5" x14ac:dyDescent="0.35">
      <c r="G20" s="65" t="s">
        <v>211</v>
      </c>
      <c r="H20" s="162" t="s">
        <v>494</v>
      </c>
      <c r="I20" s="159" t="s">
        <v>495</v>
      </c>
      <c r="K20" s="167" t="b">
        <v>0</v>
      </c>
      <c r="L20" s="167" t="b">
        <v>1</v>
      </c>
    </row>
    <row r="21" spans="1:12" ht="39.5" x14ac:dyDescent="0.35">
      <c r="G21" s="67" t="s">
        <v>212</v>
      </c>
      <c r="H21" s="163" t="s">
        <v>496</v>
      </c>
      <c r="I21" s="160" t="s">
        <v>497</v>
      </c>
      <c r="K21" s="167" t="b">
        <v>0</v>
      </c>
      <c r="L21" s="167" t="b">
        <v>1</v>
      </c>
    </row>
    <row r="22" spans="1:12" x14ac:dyDescent="0.35">
      <c r="G22" s="161"/>
      <c r="H22" s="161"/>
      <c r="K22" s="167" t="b">
        <v>0</v>
      </c>
      <c r="L22" s="167" t="b">
        <v>1</v>
      </c>
    </row>
    <row r="23" spans="1:12" x14ac:dyDescent="0.35">
      <c r="G23" s="161"/>
      <c r="H23" s="161"/>
      <c r="K23" s="167" t="b">
        <v>0</v>
      </c>
      <c r="L23" s="167" t="b">
        <v>1</v>
      </c>
    </row>
    <row r="24" spans="1:12" x14ac:dyDescent="0.35">
      <c r="A24" s="158" t="s">
        <v>478</v>
      </c>
      <c r="B24" s="158" t="s">
        <v>472</v>
      </c>
      <c r="D24" s="158" t="s">
        <v>498</v>
      </c>
      <c r="E24" s="158" t="s">
        <v>472</v>
      </c>
      <c r="G24" s="346" t="s">
        <v>499</v>
      </c>
      <c r="H24" s="347"/>
      <c r="K24" s="167" t="b">
        <v>0</v>
      </c>
      <c r="L24" s="167" t="b">
        <v>1</v>
      </c>
    </row>
    <row r="25" spans="1:12" ht="26.5" x14ac:dyDescent="0.35">
      <c r="A25" s="159" t="s">
        <v>500</v>
      </c>
      <c r="B25" s="159">
        <v>60</v>
      </c>
      <c r="D25" s="159" t="s">
        <v>500</v>
      </c>
      <c r="E25" s="159">
        <v>120</v>
      </c>
      <c r="G25" s="195" t="s">
        <v>501</v>
      </c>
      <c r="H25" s="42" t="s">
        <v>502</v>
      </c>
      <c r="K25" s="214">
        <f>COUNTIF('Formulas and Lists'!K20:K24,"VERDADEIRO")</f>
        <v>0</v>
      </c>
      <c r="L25" s="214">
        <f>COUNTIF('Formulas and Lists'!L20:L24,"VERDADEIRO")</f>
        <v>0</v>
      </c>
    </row>
    <row r="26" spans="1:12" x14ac:dyDescent="0.35">
      <c r="A26" s="159" t="s">
        <v>503</v>
      </c>
      <c r="B26" s="159">
        <v>70</v>
      </c>
      <c r="D26" s="159"/>
      <c r="E26" s="159">
        <v>130</v>
      </c>
      <c r="G26" s="42" t="s">
        <v>504</v>
      </c>
      <c r="H26" s="42" t="s">
        <v>505</v>
      </c>
      <c r="K26" s="158" t="s">
        <v>506</v>
      </c>
      <c r="L26" s="158" t="s">
        <v>507</v>
      </c>
    </row>
    <row r="27" spans="1:12" x14ac:dyDescent="0.35">
      <c r="A27" s="159" t="s">
        <v>508</v>
      </c>
      <c r="B27" s="159">
        <v>80</v>
      </c>
      <c r="D27" s="159"/>
      <c r="E27" s="159">
        <v>140</v>
      </c>
      <c r="G27" s="42" t="s">
        <v>509</v>
      </c>
      <c r="H27" s="42" t="s">
        <v>510</v>
      </c>
      <c r="K27" s="212" t="s">
        <v>492</v>
      </c>
      <c r="L27" s="212" t="s">
        <v>493</v>
      </c>
    </row>
    <row r="28" spans="1:12" ht="26.5" x14ac:dyDescent="0.35">
      <c r="A28" s="159" t="s">
        <v>511</v>
      </c>
      <c r="B28" s="159">
        <v>90</v>
      </c>
      <c r="D28" s="159"/>
      <c r="E28" s="159">
        <v>150</v>
      </c>
      <c r="G28" s="195" t="s">
        <v>512</v>
      </c>
      <c r="H28" s="42" t="s">
        <v>513</v>
      </c>
      <c r="K28" s="167" t="b">
        <v>1</v>
      </c>
      <c r="L28" s="167" t="b">
        <v>1</v>
      </c>
    </row>
    <row r="29" spans="1:12" ht="26.5" x14ac:dyDescent="0.35">
      <c r="A29" s="159" t="s">
        <v>514</v>
      </c>
      <c r="B29" s="159">
        <v>100</v>
      </c>
      <c r="D29" s="159"/>
      <c r="E29" s="159">
        <v>160</v>
      </c>
      <c r="G29" s="195" t="s">
        <v>515</v>
      </c>
      <c r="H29" s="42" t="s">
        <v>516</v>
      </c>
      <c r="K29" s="167" t="b">
        <v>1</v>
      </c>
      <c r="L29" s="167" t="b">
        <v>1</v>
      </c>
    </row>
    <row r="30" spans="1:12" ht="26.5" x14ac:dyDescent="0.35">
      <c r="A30" s="159" t="s">
        <v>517</v>
      </c>
      <c r="B30" s="159">
        <v>110</v>
      </c>
      <c r="D30" s="159"/>
      <c r="E30" s="159">
        <v>170</v>
      </c>
      <c r="G30" s="195" t="s">
        <v>518</v>
      </c>
      <c r="H30" s="42" t="s">
        <v>519</v>
      </c>
      <c r="K30" s="167" t="b">
        <v>1</v>
      </c>
      <c r="L30" s="167" t="b">
        <v>1</v>
      </c>
    </row>
    <row r="31" spans="1:12" ht="26.5" x14ac:dyDescent="0.35">
      <c r="A31" s="159" t="s">
        <v>520</v>
      </c>
      <c r="B31" s="159">
        <v>120</v>
      </c>
      <c r="D31" s="159"/>
      <c r="E31" s="159">
        <v>180</v>
      </c>
      <c r="G31" s="195" t="s">
        <v>521</v>
      </c>
      <c r="H31" s="42" t="s">
        <v>522</v>
      </c>
      <c r="K31" s="167" t="b">
        <v>1</v>
      </c>
      <c r="L31" s="167" t="b">
        <v>1</v>
      </c>
    </row>
    <row r="32" spans="1:12" ht="26.5" x14ac:dyDescent="0.35">
      <c r="A32" s="159" t="s">
        <v>523</v>
      </c>
      <c r="B32" s="159">
        <v>130</v>
      </c>
      <c r="D32" s="159"/>
      <c r="E32" s="159">
        <v>190</v>
      </c>
      <c r="G32" s="195" t="s">
        <v>524</v>
      </c>
      <c r="H32" s="42" t="s">
        <v>525</v>
      </c>
      <c r="K32" s="167" t="b">
        <v>0</v>
      </c>
      <c r="L32" s="167" t="b">
        <v>1</v>
      </c>
    </row>
    <row r="33" spans="1:12" ht="26.5" x14ac:dyDescent="0.35">
      <c r="A33" s="159" t="s">
        <v>526</v>
      </c>
      <c r="B33" s="159">
        <v>140</v>
      </c>
      <c r="D33" s="159"/>
      <c r="E33" s="159">
        <v>200</v>
      </c>
      <c r="G33" s="195" t="s">
        <v>527</v>
      </c>
      <c r="H33" s="42" t="s">
        <v>528</v>
      </c>
      <c r="K33" s="214">
        <f>COUNTIF('Formulas and Lists'!K28:K32,"VERDADEIRO")</f>
        <v>4</v>
      </c>
      <c r="L33" s="214">
        <f>COUNTIF('Formulas and Lists'!L28:L32,"VERDADEIRO")</f>
        <v>0</v>
      </c>
    </row>
    <row r="34" spans="1:12" x14ac:dyDescent="0.35">
      <c r="A34" s="159" t="s">
        <v>529</v>
      </c>
      <c r="B34" s="159">
        <v>150</v>
      </c>
      <c r="D34" s="159"/>
      <c r="E34" s="159">
        <v>210</v>
      </c>
      <c r="G34" s="42" t="s">
        <v>530</v>
      </c>
      <c r="H34" s="42" t="s">
        <v>531</v>
      </c>
      <c r="K34" s="158" t="s">
        <v>532</v>
      </c>
      <c r="L34" s="158" t="s">
        <v>532</v>
      </c>
    </row>
    <row r="35" spans="1:12" x14ac:dyDescent="0.35">
      <c r="A35" s="159" t="s">
        <v>533</v>
      </c>
      <c r="B35" s="159">
        <v>160</v>
      </c>
      <c r="D35" s="159"/>
      <c r="E35" s="159">
        <v>220</v>
      </c>
      <c r="G35" s="42" t="s">
        <v>534</v>
      </c>
      <c r="H35" s="42" t="s">
        <v>535</v>
      </c>
      <c r="K35" s="212" t="s">
        <v>536</v>
      </c>
      <c r="L35" s="212" t="s">
        <v>536</v>
      </c>
    </row>
    <row r="36" spans="1:12" x14ac:dyDescent="0.35">
      <c r="A36" s="159" t="s">
        <v>537</v>
      </c>
      <c r="B36" s="159">
        <v>170</v>
      </c>
      <c r="D36" s="159"/>
      <c r="E36" s="159">
        <v>230</v>
      </c>
      <c r="G36" s="195" t="s">
        <v>538</v>
      </c>
      <c r="H36" s="65" t="s">
        <v>539</v>
      </c>
      <c r="K36" s="167" t="s">
        <v>344</v>
      </c>
      <c r="L36" s="167" t="s">
        <v>344</v>
      </c>
    </row>
    <row r="37" spans="1:12" x14ac:dyDescent="0.35">
      <c r="A37" s="159" t="s">
        <v>540</v>
      </c>
      <c r="B37" s="159">
        <v>180</v>
      </c>
      <c r="D37" s="159"/>
      <c r="E37" s="159">
        <v>240</v>
      </c>
      <c r="G37" s="42"/>
      <c r="H37" s="42"/>
      <c r="K37" s="167" t="s">
        <v>362</v>
      </c>
      <c r="L37" s="167" t="s">
        <v>362</v>
      </c>
    </row>
    <row r="38" spans="1:12" x14ac:dyDescent="0.35">
      <c r="A38" s="159" t="s">
        <v>541</v>
      </c>
      <c r="B38" s="159">
        <v>190</v>
      </c>
      <c r="D38" s="159"/>
      <c r="E38" s="159">
        <v>250</v>
      </c>
      <c r="G38" s="42"/>
      <c r="H38" s="42"/>
      <c r="K38" s="167" t="s">
        <v>351</v>
      </c>
      <c r="L38" s="167" t="s">
        <v>351</v>
      </c>
    </row>
    <row r="39" spans="1:12" x14ac:dyDescent="0.35">
      <c r="A39" s="159" t="s">
        <v>542</v>
      </c>
      <c r="B39" s="159">
        <v>200</v>
      </c>
      <c r="D39" s="159"/>
      <c r="E39" s="159">
        <v>260</v>
      </c>
      <c r="K39" s="167" t="s">
        <v>543</v>
      </c>
      <c r="L39" s="167" t="s">
        <v>543</v>
      </c>
    </row>
    <row r="40" spans="1:12" x14ac:dyDescent="0.35">
      <c r="A40" s="159" t="s">
        <v>544</v>
      </c>
      <c r="B40" s="159">
        <v>210</v>
      </c>
      <c r="D40" s="159"/>
      <c r="E40" s="159">
        <v>270</v>
      </c>
      <c r="K40" s="212" t="s">
        <v>545</v>
      </c>
      <c r="L40" s="212" t="s">
        <v>545</v>
      </c>
    </row>
    <row r="41" spans="1:12" x14ac:dyDescent="0.35">
      <c r="A41" s="159" t="s">
        <v>546</v>
      </c>
      <c r="B41" s="159">
        <v>220</v>
      </c>
      <c r="D41" s="159"/>
      <c r="E41" s="159">
        <v>280</v>
      </c>
      <c r="K41" s="167" t="s">
        <v>547</v>
      </c>
      <c r="L41" s="167" t="s">
        <v>547</v>
      </c>
    </row>
    <row r="42" spans="1:12" x14ac:dyDescent="0.35">
      <c r="A42" s="159" t="s">
        <v>548</v>
      </c>
      <c r="B42" s="159">
        <v>230</v>
      </c>
      <c r="D42" s="159"/>
      <c r="E42" s="159">
        <v>290</v>
      </c>
      <c r="K42" s="45" t="s">
        <v>549</v>
      </c>
      <c r="L42" s="45" t="s">
        <v>549</v>
      </c>
    </row>
    <row r="43" spans="1:12" x14ac:dyDescent="0.35">
      <c r="A43" s="159" t="s">
        <v>550</v>
      </c>
      <c r="B43" s="159">
        <v>240</v>
      </c>
      <c r="D43" s="159"/>
      <c r="E43" s="159">
        <v>300</v>
      </c>
    </row>
    <row r="44" spans="1:12" x14ac:dyDescent="0.35">
      <c r="A44" s="159" t="s">
        <v>551</v>
      </c>
      <c r="B44" s="159">
        <v>250</v>
      </c>
      <c r="D44" s="159"/>
      <c r="E44" s="159">
        <v>310</v>
      </c>
    </row>
    <row r="45" spans="1:12" x14ac:dyDescent="0.35">
      <c r="A45" s="159" t="s">
        <v>552</v>
      </c>
      <c r="B45" s="159">
        <v>260</v>
      </c>
      <c r="D45" s="159"/>
      <c r="E45" s="159">
        <v>320</v>
      </c>
    </row>
    <row r="46" spans="1:12" x14ac:dyDescent="0.35">
      <c r="A46" s="159" t="s">
        <v>553</v>
      </c>
      <c r="B46" s="159">
        <v>270</v>
      </c>
      <c r="D46" s="159"/>
      <c r="E46" s="159">
        <v>330</v>
      </c>
    </row>
    <row r="47" spans="1:12" x14ac:dyDescent="0.35">
      <c r="A47" s="159" t="s">
        <v>554</v>
      </c>
      <c r="B47" s="159">
        <v>280</v>
      </c>
      <c r="D47" s="159"/>
      <c r="E47" s="159">
        <v>340</v>
      </c>
    </row>
    <row r="48" spans="1:12" x14ac:dyDescent="0.35">
      <c r="A48" s="159" t="s">
        <v>555</v>
      </c>
      <c r="B48" s="159">
        <v>290</v>
      </c>
      <c r="D48" s="159"/>
      <c r="E48" s="159">
        <v>350</v>
      </c>
    </row>
    <row r="49" spans="1:5" x14ac:dyDescent="0.35">
      <c r="A49" s="159" t="s">
        <v>556</v>
      </c>
      <c r="B49" s="159">
        <v>300</v>
      </c>
      <c r="D49" s="159"/>
      <c r="E49" s="159" t="s">
        <v>557</v>
      </c>
    </row>
    <row r="50" spans="1:5" x14ac:dyDescent="0.35">
      <c r="A50" s="160" t="s">
        <v>558</v>
      </c>
      <c r="B50" s="160">
        <v>310</v>
      </c>
      <c r="D50" s="160"/>
      <c r="E50" s="159">
        <v>640</v>
      </c>
    </row>
  </sheetData>
  <mergeCells count="3">
    <mergeCell ref="A1:D1"/>
    <mergeCell ref="A7:D7"/>
    <mergeCell ref="G24:H24"/>
  </mergeCell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4"/>
  <dimension ref="A1:K347"/>
  <sheetViews>
    <sheetView zoomScale="90" zoomScaleNormal="100" workbookViewId="0">
      <selection activeCell="L18" sqref="L18"/>
    </sheetView>
  </sheetViews>
  <sheetFormatPr defaultColWidth="9.453125" defaultRowHeight="14.5" x14ac:dyDescent="0.35"/>
  <cols>
    <col min="1" max="1" width="35.453125" bestFit="1" customWidth="1"/>
    <col min="2" max="2" width="13.453125" bestFit="1" customWidth="1"/>
    <col min="3" max="3" width="8.54296875" customWidth="1"/>
    <col min="4" max="4" width="5.54296875" bestFit="1" customWidth="1"/>
    <col min="5" max="5" width="12.453125" customWidth="1"/>
    <col min="6" max="6" width="9.453125" customWidth="1"/>
    <col min="10" max="10" width="32.54296875" bestFit="1" customWidth="1"/>
    <col min="12" max="12" width="24.54296875" bestFit="1" customWidth="1"/>
    <col min="13" max="13" width="49.453125" customWidth="1"/>
    <col min="14" max="14" width="24.453125" bestFit="1" customWidth="1"/>
  </cols>
  <sheetData>
    <row r="1" spans="1:8" ht="23.5" x14ac:dyDescent="0.55000000000000004">
      <c r="A1" s="348" t="s">
        <v>559</v>
      </c>
      <c r="B1" s="349"/>
      <c r="C1" s="349"/>
      <c r="D1" s="349"/>
      <c r="E1" s="349"/>
      <c r="F1" s="349"/>
      <c r="G1" s="349"/>
      <c r="H1" s="349"/>
    </row>
    <row r="2" spans="1:8" ht="6.75" customHeight="1" x14ac:dyDescent="0.35"/>
    <row r="3" spans="1:8" x14ac:dyDescent="0.35">
      <c r="A3" s="23" t="s">
        <v>560</v>
      </c>
      <c r="B3" s="21"/>
      <c r="C3" s="21"/>
    </row>
    <row r="4" spans="1:8" x14ac:dyDescent="0.35">
      <c r="A4" s="21"/>
      <c r="B4" s="21" t="s">
        <v>415</v>
      </c>
      <c r="C4" s="21" t="s">
        <v>561</v>
      </c>
    </row>
    <row r="5" spans="1:8" x14ac:dyDescent="0.35">
      <c r="A5" s="21" t="s">
        <v>562</v>
      </c>
      <c r="B5" s="21">
        <v>0</v>
      </c>
      <c r="C5" s="21"/>
    </row>
    <row r="6" spans="1:8" x14ac:dyDescent="0.35">
      <c r="A6" s="21" t="s">
        <v>563</v>
      </c>
      <c r="B6" s="21">
        <v>1</v>
      </c>
      <c r="C6" s="21"/>
    </row>
    <row r="7" spans="1:8" x14ac:dyDescent="0.35">
      <c r="A7" s="21" t="s">
        <v>564</v>
      </c>
      <c r="B7" s="21">
        <v>2</v>
      </c>
      <c r="C7" s="21"/>
    </row>
    <row r="11" spans="1:8" x14ac:dyDescent="0.35">
      <c r="A11" s="22" t="s">
        <v>200</v>
      </c>
      <c r="B11" s="22"/>
      <c r="C11" s="22"/>
    </row>
    <row r="12" spans="1:8" x14ac:dyDescent="0.35">
      <c r="A12" s="25" t="s">
        <v>565</v>
      </c>
      <c r="B12" s="25">
        <f>'Complexity and Scale'!K63</f>
        <v>0</v>
      </c>
      <c r="C12" s="25"/>
    </row>
    <row r="13" spans="1:8" x14ac:dyDescent="0.35">
      <c r="A13" s="25" t="s">
        <v>566</v>
      </c>
      <c r="B13" s="25">
        <f>'Complexity and Scale'!$K$81*B7*'Complexity and Scale'!K69</f>
        <v>0</v>
      </c>
      <c r="C13" s="25"/>
    </row>
    <row r="14" spans="1:8" x14ac:dyDescent="0.35">
      <c r="A14" s="25" t="s">
        <v>567</v>
      </c>
      <c r="B14" s="25">
        <f>B6*'Complexity and Scale'!K74</f>
        <v>0</v>
      </c>
      <c r="C14" s="25"/>
    </row>
    <row r="15" spans="1:8" x14ac:dyDescent="0.35">
      <c r="A15" s="25" t="s">
        <v>568</v>
      </c>
      <c r="B15" s="25">
        <f>B7*B6*B5*'Complexity and Scale'!I75</f>
        <v>0</v>
      </c>
      <c r="C15" s="25"/>
    </row>
    <row r="16" spans="1:8" x14ac:dyDescent="0.35">
      <c r="A16" s="26" t="s">
        <v>569</v>
      </c>
      <c r="B16" s="26">
        <f>ROUND(SUM(B12:B15),0)</f>
        <v>0</v>
      </c>
      <c r="C16" s="26"/>
    </row>
    <row r="18" spans="1:11" ht="15" thickBot="1" x14ac:dyDescent="0.4"/>
    <row r="19" spans="1:11" ht="15.5" thickTop="1" thickBot="1" x14ac:dyDescent="0.4">
      <c r="A19" s="34" t="s">
        <v>570</v>
      </c>
      <c r="B19" s="34">
        <v>100</v>
      </c>
    </row>
    <row r="20" spans="1:11" ht="15.5" thickTop="1" thickBot="1" x14ac:dyDescent="0.4">
      <c r="A20" s="34" t="s">
        <v>571</v>
      </c>
      <c r="B20" s="35">
        <f>B19*B16</f>
        <v>0</v>
      </c>
      <c r="C20" s="27"/>
    </row>
    <row r="21" spans="1:11" ht="15" thickTop="1" x14ac:dyDescent="0.35"/>
    <row r="22" spans="1:11" x14ac:dyDescent="0.35">
      <c r="A22" s="344" t="s">
        <v>572</v>
      </c>
      <c r="B22" s="344"/>
      <c r="C22" s="344"/>
      <c r="D22" s="344"/>
      <c r="E22" s="344"/>
      <c r="F22" s="344"/>
      <c r="G22" s="344"/>
      <c r="H22" s="344"/>
      <c r="I22" s="344"/>
    </row>
    <row r="23" spans="1:11" x14ac:dyDescent="0.35">
      <c r="A23" s="31" t="s">
        <v>573</v>
      </c>
      <c r="B23" s="31" t="s">
        <v>166</v>
      </c>
      <c r="G23" s="350" t="s">
        <v>574</v>
      </c>
      <c r="H23" s="351"/>
    </row>
    <row r="24" spans="1:11" ht="15" thickBot="1" x14ac:dyDescent="0.4">
      <c r="A24" s="130" t="s">
        <v>575</v>
      </c>
      <c r="B24" s="36">
        <v>1</v>
      </c>
      <c r="G24" s="124" t="s">
        <v>576</v>
      </c>
      <c r="H24" s="125" t="s">
        <v>166</v>
      </c>
      <c r="J24" s="124" t="s">
        <v>576</v>
      </c>
      <c r="K24" s="125" t="s">
        <v>166</v>
      </c>
    </row>
    <row r="25" spans="1:11" ht="15" thickBot="1" x14ac:dyDescent="0.4">
      <c r="A25" s="130" t="s">
        <v>577</v>
      </c>
      <c r="B25" s="36">
        <v>1</v>
      </c>
      <c r="G25" s="126" t="s">
        <v>578</v>
      </c>
      <c r="H25" s="127">
        <v>1</v>
      </c>
      <c r="J25" t="s">
        <v>579</v>
      </c>
    </row>
    <row r="26" spans="1:11" ht="26.5" thickBot="1" x14ac:dyDescent="0.4">
      <c r="A26" s="130" t="s">
        <v>580</v>
      </c>
      <c r="B26" s="36">
        <v>1</v>
      </c>
      <c r="G26" s="128" t="s">
        <v>581</v>
      </c>
      <c r="H26" s="129">
        <v>2</v>
      </c>
      <c r="J26" t="s">
        <v>582</v>
      </c>
    </row>
    <row r="27" spans="1:11" ht="15" thickBot="1" x14ac:dyDescent="0.4">
      <c r="A27" s="130" t="s">
        <v>583</v>
      </c>
      <c r="B27" s="36">
        <v>1</v>
      </c>
      <c r="J27" t="s">
        <v>584</v>
      </c>
    </row>
    <row r="28" spans="1:11" ht="15" thickBot="1" x14ac:dyDescent="0.4">
      <c r="A28" s="131" t="s">
        <v>585</v>
      </c>
      <c r="B28" s="36">
        <v>1.5</v>
      </c>
      <c r="J28" t="s">
        <v>586</v>
      </c>
    </row>
    <row r="29" spans="1:11" ht="26.5" thickBot="1" x14ac:dyDescent="0.4">
      <c r="A29" s="130" t="s">
        <v>587</v>
      </c>
      <c r="B29" s="36">
        <v>1.5</v>
      </c>
      <c r="J29" t="s">
        <v>588</v>
      </c>
    </row>
    <row r="30" spans="1:11" ht="15" thickBot="1" x14ac:dyDescent="0.4">
      <c r="A30" s="130" t="s">
        <v>589</v>
      </c>
      <c r="B30" s="36">
        <v>1.5</v>
      </c>
      <c r="J30" t="s">
        <v>590</v>
      </c>
    </row>
    <row r="31" spans="1:11" ht="15" thickBot="1" x14ac:dyDescent="0.4">
      <c r="A31" s="130" t="s">
        <v>591</v>
      </c>
      <c r="B31" s="36">
        <v>1.5</v>
      </c>
      <c r="J31" t="s">
        <v>592</v>
      </c>
    </row>
    <row r="32" spans="1:11" ht="15" thickBot="1" x14ac:dyDescent="0.4">
      <c r="A32" s="130" t="s">
        <v>593</v>
      </c>
      <c r="B32" s="36">
        <v>1.5</v>
      </c>
      <c r="J32" t="s">
        <v>594</v>
      </c>
    </row>
    <row r="33" spans="1:10" ht="15" thickBot="1" x14ac:dyDescent="0.4">
      <c r="A33" s="130" t="s">
        <v>595</v>
      </c>
      <c r="B33" s="36">
        <v>1.5</v>
      </c>
      <c r="J33" t="s">
        <v>596</v>
      </c>
    </row>
    <row r="34" spans="1:10" ht="15" thickBot="1" x14ac:dyDescent="0.4">
      <c r="A34" s="130" t="s">
        <v>597</v>
      </c>
      <c r="B34" s="36">
        <v>1.5</v>
      </c>
      <c r="J34" t="s">
        <v>598</v>
      </c>
    </row>
    <row r="35" spans="1:10" ht="15" thickBot="1" x14ac:dyDescent="0.4">
      <c r="A35" s="130" t="s">
        <v>599</v>
      </c>
      <c r="B35" s="36">
        <v>1.5</v>
      </c>
      <c r="J35" t="s">
        <v>600</v>
      </c>
    </row>
    <row r="36" spans="1:10" ht="26.5" thickBot="1" x14ac:dyDescent="0.4">
      <c r="A36" s="130" t="s">
        <v>601</v>
      </c>
      <c r="B36" s="36">
        <v>1.5</v>
      </c>
      <c r="J36" t="s">
        <v>602</v>
      </c>
    </row>
    <row r="37" spans="1:10" ht="26.5" thickBot="1" x14ac:dyDescent="0.4">
      <c r="A37" s="130" t="s">
        <v>603</v>
      </c>
      <c r="B37" s="36">
        <v>1.5</v>
      </c>
      <c r="J37" t="s">
        <v>604</v>
      </c>
    </row>
    <row r="38" spans="1:10" ht="15" thickBot="1" x14ac:dyDescent="0.4">
      <c r="A38" s="130" t="s">
        <v>605</v>
      </c>
      <c r="B38" s="36">
        <v>1.5</v>
      </c>
      <c r="J38" t="s">
        <v>606</v>
      </c>
    </row>
    <row r="39" spans="1:10" ht="15" thickBot="1" x14ac:dyDescent="0.4">
      <c r="A39" s="130" t="s">
        <v>607</v>
      </c>
      <c r="B39" s="36">
        <v>1.5</v>
      </c>
      <c r="J39" t="s">
        <v>608</v>
      </c>
    </row>
    <row r="40" spans="1:10" ht="26.5" thickBot="1" x14ac:dyDescent="0.4">
      <c r="A40" s="130" t="s">
        <v>609</v>
      </c>
      <c r="B40" s="36">
        <v>1.5</v>
      </c>
      <c r="J40" t="s">
        <v>610</v>
      </c>
    </row>
    <row r="41" spans="1:10" ht="15" thickBot="1" x14ac:dyDescent="0.4">
      <c r="A41" s="130" t="s">
        <v>611</v>
      </c>
      <c r="B41" s="36">
        <v>1.5</v>
      </c>
      <c r="J41" t="s">
        <v>612</v>
      </c>
    </row>
    <row r="42" spans="1:10" ht="26" x14ac:dyDescent="0.35">
      <c r="A42" s="132" t="s">
        <v>613</v>
      </c>
      <c r="B42" s="36">
        <v>1.5</v>
      </c>
      <c r="J42" t="s">
        <v>614</v>
      </c>
    </row>
    <row r="43" spans="1:10" ht="15" thickBot="1" x14ac:dyDescent="0.4">
      <c r="A43" s="130" t="s">
        <v>615</v>
      </c>
      <c r="B43" s="36">
        <v>1.5</v>
      </c>
      <c r="J43" t="s">
        <v>616</v>
      </c>
    </row>
    <row r="44" spans="1:10" ht="26.5" thickBot="1" x14ac:dyDescent="0.4">
      <c r="A44" s="130" t="s">
        <v>617</v>
      </c>
      <c r="B44" s="36">
        <v>1.5</v>
      </c>
      <c r="J44" t="s">
        <v>618</v>
      </c>
    </row>
    <row r="45" spans="1:10" ht="26.5" thickBot="1" x14ac:dyDescent="0.4">
      <c r="A45" s="130" t="s">
        <v>619</v>
      </c>
      <c r="B45" s="36">
        <v>1.5</v>
      </c>
      <c r="J45" t="s">
        <v>620</v>
      </c>
    </row>
    <row r="46" spans="1:10" ht="26.5" thickBot="1" x14ac:dyDescent="0.4">
      <c r="A46" s="130" t="s">
        <v>621</v>
      </c>
      <c r="B46" s="133">
        <v>2</v>
      </c>
      <c r="J46" t="s">
        <v>622</v>
      </c>
    </row>
    <row r="47" spans="1:10" ht="26.5" thickBot="1" x14ac:dyDescent="0.4">
      <c r="A47" s="130" t="s">
        <v>623</v>
      </c>
      <c r="B47" s="133">
        <v>2</v>
      </c>
      <c r="J47" t="s">
        <v>624</v>
      </c>
    </row>
    <row r="48" spans="1:10" ht="39.5" thickBot="1" x14ac:dyDescent="0.4">
      <c r="A48" s="130" t="s">
        <v>625</v>
      </c>
      <c r="B48" s="36">
        <v>2</v>
      </c>
      <c r="J48" t="s">
        <v>626</v>
      </c>
    </row>
    <row r="49" spans="1:10" ht="15" thickBot="1" x14ac:dyDescent="0.4">
      <c r="A49" s="130"/>
      <c r="B49" s="36"/>
      <c r="J49" t="s">
        <v>627</v>
      </c>
    </row>
    <row r="50" spans="1:10" ht="15" thickBot="1" x14ac:dyDescent="0.4">
      <c r="A50" s="130"/>
      <c r="B50" s="36"/>
      <c r="J50" t="s">
        <v>628</v>
      </c>
    </row>
    <row r="51" spans="1:10" x14ac:dyDescent="0.35">
      <c r="A51" s="132"/>
      <c r="B51" s="133"/>
      <c r="J51" t="s">
        <v>629</v>
      </c>
    </row>
    <row r="52" spans="1:10" x14ac:dyDescent="0.35">
      <c r="A52" s="132"/>
      <c r="B52" s="133"/>
      <c r="J52" t="s">
        <v>630</v>
      </c>
    </row>
    <row r="53" spans="1:10" x14ac:dyDescent="0.35">
      <c r="J53" t="s">
        <v>631</v>
      </c>
    </row>
    <row r="54" spans="1:10" x14ac:dyDescent="0.35">
      <c r="J54" t="s">
        <v>632</v>
      </c>
    </row>
    <row r="55" spans="1:10" x14ac:dyDescent="0.35">
      <c r="J55" t="s">
        <v>633</v>
      </c>
    </row>
    <row r="56" spans="1:10" x14ac:dyDescent="0.35">
      <c r="J56" t="s">
        <v>634</v>
      </c>
    </row>
    <row r="57" spans="1:10" x14ac:dyDescent="0.35">
      <c r="J57" t="s">
        <v>635</v>
      </c>
    </row>
    <row r="58" spans="1:10" x14ac:dyDescent="0.35">
      <c r="J58" t="s">
        <v>636</v>
      </c>
    </row>
    <row r="59" spans="1:10" x14ac:dyDescent="0.35">
      <c r="J59" t="s">
        <v>637</v>
      </c>
    </row>
    <row r="60" spans="1:10" x14ac:dyDescent="0.35">
      <c r="J60" t="s">
        <v>638</v>
      </c>
    </row>
    <row r="61" spans="1:10" x14ac:dyDescent="0.35">
      <c r="J61" t="s">
        <v>639</v>
      </c>
    </row>
    <row r="62" spans="1:10" x14ac:dyDescent="0.35">
      <c r="J62" t="s">
        <v>640</v>
      </c>
    </row>
    <row r="63" spans="1:10" x14ac:dyDescent="0.35">
      <c r="J63" t="s">
        <v>641</v>
      </c>
    </row>
    <row r="64" spans="1:10" x14ac:dyDescent="0.35">
      <c r="J64" t="s">
        <v>642</v>
      </c>
    </row>
    <row r="65" spans="10:10" x14ac:dyDescent="0.35">
      <c r="J65" t="s">
        <v>643</v>
      </c>
    </row>
    <row r="66" spans="10:10" x14ac:dyDescent="0.35">
      <c r="J66" t="s">
        <v>644</v>
      </c>
    </row>
    <row r="67" spans="10:10" x14ac:dyDescent="0.35">
      <c r="J67" t="s">
        <v>645</v>
      </c>
    </row>
    <row r="68" spans="10:10" x14ac:dyDescent="0.35">
      <c r="J68" t="s">
        <v>646</v>
      </c>
    </row>
    <row r="69" spans="10:10" x14ac:dyDescent="0.35">
      <c r="J69" t="s">
        <v>647</v>
      </c>
    </row>
    <row r="70" spans="10:10" x14ac:dyDescent="0.35">
      <c r="J70" t="s">
        <v>648</v>
      </c>
    </row>
    <row r="71" spans="10:10" x14ac:dyDescent="0.35">
      <c r="J71" t="s">
        <v>649</v>
      </c>
    </row>
    <row r="72" spans="10:10" x14ac:dyDescent="0.35">
      <c r="J72" t="s">
        <v>650</v>
      </c>
    </row>
    <row r="73" spans="10:10" x14ac:dyDescent="0.35">
      <c r="J73" t="s">
        <v>651</v>
      </c>
    </row>
    <row r="74" spans="10:10" x14ac:dyDescent="0.35">
      <c r="J74" t="s">
        <v>652</v>
      </c>
    </row>
    <row r="75" spans="10:10" x14ac:dyDescent="0.35">
      <c r="J75" t="s">
        <v>653</v>
      </c>
    </row>
    <row r="76" spans="10:10" x14ac:dyDescent="0.35">
      <c r="J76" t="s">
        <v>654</v>
      </c>
    </row>
    <row r="77" spans="10:10" x14ac:dyDescent="0.35">
      <c r="J77" t="s">
        <v>655</v>
      </c>
    </row>
    <row r="78" spans="10:10" x14ac:dyDescent="0.35">
      <c r="J78" t="s">
        <v>656</v>
      </c>
    </row>
    <row r="79" spans="10:10" x14ac:dyDescent="0.35">
      <c r="J79" t="s">
        <v>657</v>
      </c>
    </row>
    <row r="80" spans="10:10" x14ac:dyDescent="0.35">
      <c r="J80" t="s">
        <v>658</v>
      </c>
    </row>
    <row r="81" spans="10:10" x14ac:dyDescent="0.35">
      <c r="J81" t="s">
        <v>659</v>
      </c>
    </row>
    <row r="82" spans="10:10" x14ac:dyDescent="0.35">
      <c r="J82" t="s">
        <v>660</v>
      </c>
    </row>
    <row r="83" spans="10:10" x14ac:dyDescent="0.35">
      <c r="J83" t="s">
        <v>661</v>
      </c>
    </row>
    <row r="84" spans="10:10" x14ac:dyDescent="0.35">
      <c r="J84" t="s">
        <v>662</v>
      </c>
    </row>
    <row r="85" spans="10:10" x14ac:dyDescent="0.35">
      <c r="J85" t="s">
        <v>663</v>
      </c>
    </row>
    <row r="86" spans="10:10" x14ac:dyDescent="0.35">
      <c r="J86" t="s">
        <v>664</v>
      </c>
    </row>
    <row r="87" spans="10:10" x14ac:dyDescent="0.35">
      <c r="J87" t="s">
        <v>665</v>
      </c>
    </row>
    <row r="88" spans="10:10" x14ac:dyDescent="0.35">
      <c r="J88" t="s">
        <v>666</v>
      </c>
    </row>
    <row r="89" spans="10:10" x14ac:dyDescent="0.35">
      <c r="J89" t="s">
        <v>667</v>
      </c>
    </row>
    <row r="90" spans="10:10" x14ac:dyDescent="0.35">
      <c r="J90" t="s">
        <v>668</v>
      </c>
    </row>
    <row r="91" spans="10:10" x14ac:dyDescent="0.35">
      <c r="J91" t="s">
        <v>669</v>
      </c>
    </row>
    <row r="92" spans="10:10" x14ac:dyDescent="0.35">
      <c r="J92" t="s">
        <v>670</v>
      </c>
    </row>
    <row r="93" spans="10:10" x14ac:dyDescent="0.35">
      <c r="J93" t="s">
        <v>671</v>
      </c>
    </row>
    <row r="94" spans="10:10" x14ac:dyDescent="0.35">
      <c r="J94" t="s">
        <v>672</v>
      </c>
    </row>
    <row r="95" spans="10:10" x14ac:dyDescent="0.35">
      <c r="J95" t="s">
        <v>673</v>
      </c>
    </row>
    <row r="96" spans="10:10" x14ac:dyDescent="0.35">
      <c r="J96" t="s">
        <v>674</v>
      </c>
    </row>
    <row r="97" spans="10:10" x14ac:dyDescent="0.35">
      <c r="J97" t="s">
        <v>675</v>
      </c>
    </row>
    <row r="98" spans="10:10" x14ac:dyDescent="0.35">
      <c r="J98" t="s">
        <v>676</v>
      </c>
    </row>
    <row r="99" spans="10:10" x14ac:dyDescent="0.35">
      <c r="J99" t="s">
        <v>677</v>
      </c>
    </row>
    <row r="100" spans="10:10" x14ac:dyDescent="0.35">
      <c r="J100" t="s">
        <v>678</v>
      </c>
    </row>
    <row r="101" spans="10:10" x14ac:dyDescent="0.35">
      <c r="J101" t="s">
        <v>679</v>
      </c>
    </row>
    <row r="102" spans="10:10" x14ac:dyDescent="0.35">
      <c r="J102" t="s">
        <v>680</v>
      </c>
    </row>
    <row r="103" spans="10:10" x14ac:dyDescent="0.35">
      <c r="J103" t="s">
        <v>681</v>
      </c>
    </row>
    <row r="104" spans="10:10" x14ac:dyDescent="0.35">
      <c r="J104" t="s">
        <v>682</v>
      </c>
    </row>
    <row r="105" spans="10:10" x14ac:dyDescent="0.35">
      <c r="J105" t="s">
        <v>683</v>
      </c>
    </row>
    <row r="106" spans="10:10" x14ac:dyDescent="0.35">
      <c r="J106" t="s">
        <v>684</v>
      </c>
    </row>
    <row r="107" spans="10:10" x14ac:dyDescent="0.35">
      <c r="J107" t="s">
        <v>685</v>
      </c>
    </row>
    <row r="108" spans="10:10" x14ac:dyDescent="0.35">
      <c r="J108" t="s">
        <v>686</v>
      </c>
    </row>
    <row r="109" spans="10:10" x14ac:dyDescent="0.35">
      <c r="J109" t="s">
        <v>687</v>
      </c>
    </row>
    <row r="110" spans="10:10" x14ac:dyDescent="0.35">
      <c r="J110" t="s">
        <v>688</v>
      </c>
    </row>
    <row r="111" spans="10:10" x14ac:dyDescent="0.35">
      <c r="J111" t="s">
        <v>689</v>
      </c>
    </row>
    <row r="112" spans="10:10" x14ac:dyDescent="0.35">
      <c r="J112" t="s">
        <v>690</v>
      </c>
    </row>
    <row r="113" spans="10:10" x14ac:dyDescent="0.35">
      <c r="J113" t="s">
        <v>691</v>
      </c>
    </row>
    <row r="114" spans="10:10" x14ac:dyDescent="0.35">
      <c r="J114" t="s">
        <v>692</v>
      </c>
    </row>
    <row r="115" spans="10:10" x14ac:dyDescent="0.35">
      <c r="J115" t="s">
        <v>693</v>
      </c>
    </row>
    <row r="116" spans="10:10" x14ac:dyDescent="0.35">
      <c r="J116" t="s">
        <v>694</v>
      </c>
    </row>
    <row r="117" spans="10:10" x14ac:dyDescent="0.35">
      <c r="J117" t="s">
        <v>695</v>
      </c>
    </row>
    <row r="118" spans="10:10" x14ac:dyDescent="0.35">
      <c r="J118" t="s">
        <v>696</v>
      </c>
    </row>
    <row r="119" spans="10:10" x14ac:dyDescent="0.35">
      <c r="J119" t="s">
        <v>697</v>
      </c>
    </row>
    <row r="120" spans="10:10" x14ac:dyDescent="0.35">
      <c r="J120" t="s">
        <v>698</v>
      </c>
    </row>
    <row r="121" spans="10:10" x14ac:dyDescent="0.35">
      <c r="J121" t="s">
        <v>699</v>
      </c>
    </row>
    <row r="122" spans="10:10" x14ac:dyDescent="0.35">
      <c r="J122" t="s">
        <v>700</v>
      </c>
    </row>
    <row r="123" spans="10:10" x14ac:dyDescent="0.35">
      <c r="J123" t="s">
        <v>701</v>
      </c>
    </row>
    <row r="124" spans="10:10" x14ac:dyDescent="0.35">
      <c r="J124" t="s">
        <v>702</v>
      </c>
    </row>
    <row r="125" spans="10:10" x14ac:dyDescent="0.35">
      <c r="J125" t="s">
        <v>703</v>
      </c>
    </row>
    <row r="126" spans="10:10" x14ac:dyDescent="0.35">
      <c r="J126" t="s">
        <v>704</v>
      </c>
    </row>
    <row r="127" spans="10:10" x14ac:dyDescent="0.35">
      <c r="J127" t="s">
        <v>705</v>
      </c>
    </row>
    <row r="128" spans="10:10" x14ac:dyDescent="0.35">
      <c r="J128" t="s">
        <v>706</v>
      </c>
    </row>
    <row r="129" spans="10:10" x14ac:dyDescent="0.35">
      <c r="J129" t="s">
        <v>707</v>
      </c>
    </row>
    <row r="130" spans="10:10" x14ac:dyDescent="0.35">
      <c r="J130" t="s">
        <v>708</v>
      </c>
    </row>
    <row r="131" spans="10:10" x14ac:dyDescent="0.35">
      <c r="J131" t="s">
        <v>709</v>
      </c>
    </row>
    <row r="132" spans="10:10" x14ac:dyDescent="0.35">
      <c r="J132" t="s">
        <v>710</v>
      </c>
    </row>
    <row r="133" spans="10:10" x14ac:dyDescent="0.35">
      <c r="J133" t="s">
        <v>711</v>
      </c>
    </row>
    <row r="134" spans="10:10" x14ac:dyDescent="0.35">
      <c r="J134" t="s">
        <v>712</v>
      </c>
    </row>
    <row r="135" spans="10:10" x14ac:dyDescent="0.35">
      <c r="J135" t="s">
        <v>713</v>
      </c>
    </row>
    <row r="136" spans="10:10" x14ac:dyDescent="0.35">
      <c r="J136" t="s">
        <v>714</v>
      </c>
    </row>
    <row r="137" spans="10:10" x14ac:dyDescent="0.35">
      <c r="J137" t="s">
        <v>715</v>
      </c>
    </row>
    <row r="138" spans="10:10" x14ac:dyDescent="0.35">
      <c r="J138" t="s">
        <v>716</v>
      </c>
    </row>
    <row r="139" spans="10:10" x14ac:dyDescent="0.35">
      <c r="J139" t="s">
        <v>717</v>
      </c>
    </row>
    <row r="140" spans="10:10" x14ac:dyDescent="0.35">
      <c r="J140" t="s">
        <v>718</v>
      </c>
    </row>
    <row r="141" spans="10:10" x14ac:dyDescent="0.35">
      <c r="J141" t="s">
        <v>719</v>
      </c>
    </row>
    <row r="142" spans="10:10" x14ac:dyDescent="0.35">
      <c r="J142" t="s">
        <v>720</v>
      </c>
    </row>
    <row r="143" spans="10:10" x14ac:dyDescent="0.35">
      <c r="J143" t="s">
        <v>721</v>
      </c>
    </row>
    <row r="144" spans="10:10" x14ac:dyDescent="0.35">
      <c r="J144" t="s">
        <v>722</v>
      </c>
    </row>
    <row r="145" spans="10:10" x14ac:dyDescent="0.35">
      <c r="J145" t="s">
        <v>723</v>
      </c>
    </row>
    <row r="146" spans="10:10" x14ac:dyDescent="0.35">
      <c r="J146" t="s">
        <v>724</v>
      </c>
    </row>
    <row r="147" spans="10:10" x14ac:dyDescent="0.35">
      <c r="J147" t="s">
        <v>725</v>
      </c>
    </row>
    <row r="148" spans="10:10" x14ac:dyDescent="0.35">
      <c r="J148" t="s">
        <v>726</v>
      </c>
    </row>
    <row r="149" spans="10:10" x14ac:dyDescent="0.35">
      <c r="J149" t="s">
        <v>727</v>
      </c>
    </row>
    <row r="150" spans="10:10" x14ac:dyDescent="0.35">
      <c r="J150" t="s">
        <v>728</v>
      </c>
    </row>
    <row r="151" spans="10:10" x14ac:dyDescent="0.35">
      <c r="J151" t="s">
        <v>729</v>
      </c>
    </row>
    <row r="152" spans="10:10" x14ac:dyDescent="0.35">
      <c r="J152" t="s">
        <v>730</v>
      </c>
    </row>
    <row r="153" spans="10:10" x14ac:dyDescent="0.35">
      <c r="J153" t="s">
        <v>731</v>
      </c>
    </row>
    <row r="154" spans="10:10" x14ac:dyDescent="0.35">
      <c r="J154" t="s">
        <v>732</v>
      </c>
    </row>
    <row r="155" spans="10:10" x14ac:dyDescent="0.35">
      <c r="J155" t="s">
        <v>733</v>
      </c>
    </row>
    <row r="156" spans="10:10" x14ac:dyDescent="0.35">
      <c r="J156" t="s">
        <v>734</v>
      </c>
    </row>
    <row r="157" spans="10:10" x14ac:dyDescent="0.35">
      <c r="J157" t="s">
        <v>735</v>
      </c>
    </row>
    <row r="158" spans="10:10" x14ac:dyDescent="0.35">
      <c r="J158" t="s">
        <v>736</v>
      </c>
    </row>
    <row r="159" spans="10:10" x14ac:dyDescent="0.35">
      <c r="J159" t="s">
        <v>737</v>
      </c>
    </row>
    <row r="160" spans="10:10" x14ac:dyDescent="0.35">
      <c r="J160" t="s">
        <v>738</v>
      </c>
    </row>
    <row r="161" spans="10:10" x14ac:dyDescent="0.35">
      <c r="J161" t="s">
        <v>739</v>
      </c>
    </row>
    <row r="162" spans="10:10" x14ac:dyDescent="0.35">
      <c r="J162" t="s">
        <v>740</v>
      </c>
    </row>
    <row r="163" spans="10:10" x14ac:dyDescent="0.35">
      <c r="J163" t="s">
        <v>741</v>
      </c>
    </row>
    <row r="164" spans="10:10" x14ac:dyDescent="0.35">
      <c r="J164" t="s">
        <v>742</v>
      </c>
    </row>
    <row r="165" spans="10:10" x14ac:dyDescent="0.35">
      <c r="J165" t="s">
        <v>743</v>
      </c>
    </row>
    <row r="166" spans="10:10" x14ac:dyDescent="0.35">
      <c r="J166" t="s">
        <v>744</v>
      </c>
    </row>
    <row r="167" spans="10:10" x14ac:dyDescent="0.35">
      <c r="J167" t="s">
        <v>745</v>
      </c>
    </row>
    <row r="168" spans="10:10" x14ac:dyDescent="0.35">
      <c r="J168" t="s">
        <v>746</v>
      </c>
    </row>
    <row r="169" spans="10:10" x14ac:dyDescent="0.35">
      <c r="J169" t="s">
        <v>747</v>
      </c>
    </row>
    <row r="170" spans="10:10" x14ac:dyDescent="0.35">
      <c r="J170" t="s">
        <v>748</v>
      </c>
    </row>
    <row r="171" spans="10:10" x14ac:dyDescent="0.35">
      <c r="J171" t="s">
        <v>749</v>
      </c>
    </row>
    <row r="172" spans="10:10" x14ac:dyDescent="0.35">
      <c r="J172" t="s">
        <v>750</v>
      </c>
    </row>
    <row r="173" spans="10:10" x14ac:dyDescent="0.35">
      <c r="J173" t="s">
        <v>751</v>
      </c>
    </row>
    <row r="174" spans="10:10" x14ac:dyDescent="0.35">
      <c r="J174" t="s">
        <v>752</v>
      </c>
    </row>
    <row r="175" spans="10:10" x14ac:dyDescent="0.35">
      <c r="J175" t="s">
        <v>753</v>
      </c>
    </row>
    <row r="176" spans="10:10" x14ac:dyDescent="0.35">
      <c r="J176" t="s">
        <v>754</v>
      </c>
    </row>
    <row r="177" spans="10:10" x14ac:dyDescent="0.35">
      <c r="J177" t="s">
        <v>755</v>
      </c>
    </row>
    <row r="178" spans="10:10" x14ac:dyDescent="0.35">
      <c r="J178" t="s">
        <v>756</v>
      </c>
    </row>
    <row r="179" spans="10:10" x14ac:dyDescent="0.35">
      <c r="J179" t="s">
        <v>757</v>
      </c>
    </row>
    <row r="180" spans="10:10" x14ac:dyDescent="0.35">
      <c r="J180" t="s">
        <v>758</v>
      </c>
    </row>
    <row r="181" spans="10:10" x14ac:dyDescent="0.35">
      <c r="J181" t="s">
        <v>759</v>
      </c>
    </row>
    <row r="182" spans="10:10" x14ac:dyDescent="0.35">
      <c r="J182" t="s">
        <v>760</v>
      </c>
    </row>
    <row r="183" spans="10:10" x14ac:dyDescent="0.35">
      <c r="J183" t="s">
        <v>761</v>
      </c>
    </row>
    <row r="184" spans="10:10" x14ac:dyDescent="0.35">
      <c r="J184" t="s">
        <v>762</v>
      </c>
    </row>
    <row r="185" spans="10:10" x14ac:dyDescent="0.35">
      <c r="J185" t="s">
        <v>763</v>
      </c>
    </row>
    <row r="186" spans="10:10" x14ac:dyDescent="0.35">
      <c r="J186" t="s">
        <v>764</v>
      </c>
    </row>
    <row r="187" spans="10:10" x14ac:dyDescent="0.35">
      <c r="J187" t="s">
        <v>765</v>
      </c>
    </row>
    <row r="188" spans="10:10" x14ac:dyDescent="0.35">
      <c r="J188" t="s">
        <v>766</v>
      </c>
    </row>
    <row r="189" spans="10:10" x14ac:dyDescent="0.35">
      <c r="J189" t="s">
        <v>767</v>
      </c>
    </row>
    <row r="190" spans="10:10" x14ac:dyDescent="0.35">
      <c r="J190" t="s">
        <v>768</v>
      </c>
    </row>
    <row r="191" spans="10:10" x14ac:dyDescent="0.35">
      <c r="J191" t="s">
        <v>769</v>
      </c>
    </row>
    <row r="192" spans="10:10" x14ac:dyDescent="0.35">
      <c r="J192" t="s">
        <v>770</v>
      </c>
    </row>
    <row r="193" spans="10:10" x14ac:dyDescent="0.35">
      <c r="J193" t="s">
        <v>771</v>
      </c>
    </row>
    <row r="194" spans="10:10" x14ac:dyDescent="0.35">
      <c r="J194" t="s">
        <v>772</v>
      </c>
    </row>
    <row r="195" spans="10:10" x14ac:dyDescent="0.35">
      <c r="J195" t="s">
        <v>773</v>
      </c>
    </row>
    <row r="196" spans="10:10" x14ac:dyDescent="0.35">
      <c r="J196" t="s">
        <v>774</v>
      </c>
    </row>
    <row r="197" spans="10:10" x14ac:dyDescent="0.35">
      <c r="J197" t="s">
        <v>775</v>
      </c>
    </row>
    <row r="198" spans="10:10" x14ac:dyDescent="0.35">
      <c r="J198" t="s">
        <v>776</v>
      </c>
    </row>
    <row r="199" spans="10:10" x14ac:dyDescent="0.35">
      <c r="J199" t="s">
        <v>777</v>
      </c>
    </row>
    <row r="200" spans="10:10" x14ac:dyDescent="0.35">
      <c r="J200" t="s">
        <v>778</v>
      </c>
    </row>
    <row r="201" spans="10:10" x14ac:dyDescent="0.35">
      <c r="J201" t="s">
        <v>779</v>
      </c>
    </row>
    <row r="202" spans="10:10" x14ac:dyDescent="0.35">
      <c r="J202" t="s">
        <v>780</v>
      </c>
    </row>
    <row r="203" spans="10:10" x14ac:dyDescent="0.35">
      <c r="J203" t="s">
        <v>781</v>
      </c>
    </row>
    <row r="204" spans="10:10" x14ac:dyDescent="0.35">
      <c r="J204" t="s">
        <v>782</v>
      </c>
    </row>
    <row r="205" spans="10:10" x14ac:dyDescent="0.35">
      <c r="J205" t="s">
        <v>783</v>
      </c>
    </row>
    <row r="206" spans="10:10" x14ac:dyDescent="0.35">
      <c r="J206" t="s">
        <v>784</v>
      </c>
    </row>
    <row r="207" spans="10:10" x14ac:dyDescent="0.35">
      <c r="J207" t="s">
        <v>785</v>
      </c>
    </row>
    <row r="208" spans="10:10" x14ac:dyDescent="0.35">
      <c r="J208" t="s">
        <v>786</v>
      </c>
    </row>
    <row r="209" spans="10:10" x14ac:dyDescent="0.35">
      <c r="J209" t="s">
        <v>787</v>
      </c>
    </row>
    <row r="210" spans="10:10" x14ac:dyDescent="0.35">
      <c r="J210" t="s">
        <v>788</v>
      </c>
    </row>
    <row r="211" spans="10:10" x14ac:dyDescent="0.35">
      <c r="J211" t="s">
        <v>789</v>
      </c>
    </row>
    <row r="212" spans="10:10" x14ac:dyDescent="0.35">
      <c r="J212" t="s">
        <v>790</v>
      </c>
    </row>
    <row r="213" spans="10:10" x14ac:dyDescent="0.35">
      <c r="J213" t="s">
        <v>791</v>
      </c>
    </row>
    <row r="214" spans="10:10" x14ac:dyDescent="0.35">
      <c r="J214" t="s">
        <v>792</v>
      </c>
    </row>
    <row r="215" spans="10:10" x14ac:dyDescent="0.35">
      <c r="J215" t="s">
        <v>793</v>
      </c>
    </row>
    <row r="216" spans="10:10" x14ac:dyDescent="0.35">
      <c r="J216" t="s">
        <v>794</v>
      </c>
    </row>
    <row r="217" spans="10:10" x14ac:dyDescent="0.35">
      <c r="J217" t="s">
        <v>795</v>
      </c>
    </row>
    <row r="218" spans="10:10" x14ac:dyDescent="0.35">
      <c r="J218" t="s">
        <v>796</v>
      </c>
    </row>
    <row r="219" spans="10:10" x14ac:dyDescent="0.35">
      <c r="J219" t="s">
        <v>797</v>
      </c>
    </row>
    <row r="220" spans="10:10" x14ac:dyDescent="0.35">
      <c r="J220" t="s">
        <v>798</v>
      </c>
    </row>
    <row r="221" spans="10:10" x14ac:dyDescent="0.35">
      <c r="J221" t="s">
        <v>799</v>
      </c>
    </row>
    <row r="222" spans="10:10" x14ac:dyDescent="0.35">
      <c r="J222" t="s">
        <v>800</v>
      </c>
    </row>
    <row r="223" spans="10:10" x14ac:dyDescent="0.35">
      <c r="J223" t="s">
        <v>801</v>
      </c>
    </row>
    <row r="224" spans="10:10" x14ac:dyDescent="0.35">
      <c r="J224" t="s">
        <v>802</v>
      </c>
    </row>
    <row r="225" spans="10:10" x14ac:dyDescent="0.35">
      <c r="J225" t="s">
        <v>803</v>
      </c>
    </row>
    <row r="226" spans="10:10" x14ac:dyDescent="0.35">
      <c r="J226" t="s">
        <v>804</v>
      </c>
    </row>
    <row r="227" spans="10:10" x14ac:dyDescent="0.35">
      <c r="J227" t="s">
        <v>805</v>
      </c>
    </row>
    <row r="228" spans="10:10" x14ac:dyDescent="0.35">
      <c r="J228" t="s">
        <v>806</v>
      </c>
    </row>
    <row r="229" spans="10:10" x14ac:dyDescent="0.35">
      <c r="J229" t="s">
        <v>807</v>
      </c>
    </row>
    <row r="230" spans="10:10" x14ac:dyDescent="0.35">
      <c r="J230" t="s">
        <v>808</v>
      </c>
    </row>
    <row r="231" spans="10:10" x14ac:dyDescent="0.35">
      <c r="J231" t="s">
        <v>809</v>
      </c>
    </row>
    <row r="232" spans="10:10" x14ac:dyDescent="0.35">
      <c r="J232" t="s">
        <v>810</v>
      </c>
    </row>
    <row r="233" spans="10:10" x14ac:dyDescent="0.35">
      <c r="J233" t="s">
        <v>811</v>
      </c>
    </row>
    <row r="234" spans="10:10" x14ac:dyDescent="0.35">
      <c r="J234" t="s">
        <v>812</v>
      </c>
    </row>
    <row r="235" spans="10:10" x14ac:dyDescent="0.35">
      <c r="J235" t="s">
        <v>813</v>
      </c>
    </row>
    <row r="236" spans="10:10" x14ac:dyDescent="0.35">
      <c r="J236" t="s">
        <v>814</v>
      </c>
    </row>
    <row r="237" spans="10:10" x14ac:dyDescent="0.35">
      <c r="J237" t="s">
        <v>815</v>
      </c>
    </row>
    <row r="238" spans="10:10" x14ac:dyDescent="0.35">
      <c r="J238" t="s">
        <v>816</v>
      </c>
    </row>
    <row r="239" spans="10:10" x14ac:dyDescent="0.35">
      <c r="J239" t="s">
        <v>817</v>
      </c>
    </row>
    <row r="240" spans="10:10" x14ac:dyDescent="0.35">
      <c r="J240" t="s">
        <v>818</v>
      </c>
    </row>
    <row r="241" spans="10:10" x14ac:dyDescent="0.35">
      <c r="J241" t="s">
        <v>819</v>
      </c>
    </row>
    <row r="242" spans="10:10" x14ac:dyDescent="0.35">
      <c r="J242" t="s">
        <v>820</v>
      </c>
    </row>
    <row r="243" spans="10:10" x14ac:dyDescent="0.35">
      <c r="J243" t="s">
        <v>821</v>
      </c>
    </row>
    <row r="244" spans="10:10" x14ac:dyDescent="0.35">
      <c r="J244" t="s">
        <v>822</v>
      </c>
    </row>
    <row r="245" spans="10:10" x14ac:dyDescent="0.35">
      <c r="J245" t="s">
        <v>823</v>
      </c>
    </row>
    <row r="246" spans="10:10" x14ac:dyDescent="0.35">
      <c r="J246" t="s">
        <v>824</v>
      </c>
    </row>
    <row r="247" spans="10:10" x14ac:dyDescent="0.35">
      <c r="J247" t="s">
        <v>825</v>
      </c>
    </row>
    <row r="248" spans="10:10" x14ac:dyDescent="0.35">
      <c r="J248" t="s">
        <v>826</v>
      </c>
    </row>
    <row r="249" spans="10:10" x14ac:dyDescent="0.35">
      <c r="J249" t="s">
        <v>827</v>
      </c>
    </row>
    <row r="250" spans="10:10" x14ac:dyDescent="0.35">
      <c r="J250" t="s">
        <v>828</v>
      </c>
    </row>
    <row r="251" spans="10:10" x14ac:dyDescent="0.35">
      <c r="J251" t="s">
        <v>829</v>
      </c>
    </row>
    <row r="252" spans="10:10" x14ac:dyDescent="0.35">
      <c r="J252" t="s">
        <v>830</v>
      </c>
    </row>
    <row r="253" spans="10:10" x14ac:dyDescent="0.35">
      <c r="J253" t="s">
        <v>831</v>
      </c>
    </row>
    <row r="254" spans="10:10" x14ac:dyDescent="0.35">
      <c r="J254" t="s">
        <v>832</v>
      </c>
    </row>
    <row r="255" spans="10:10" x14ac:dyDescent="0.35">
      <c r="J255" t="s">
        <v>833</v>
      </c>
    </row>
    <row r="256" spans="10:10" x14ac:dyDescent="0.35">
      <c r="J256" t="s">
        <v>834</v>
      </c>
    </row>
    <row r="257" spans="10:10" x14ac:dyDescent="0.35">
      <c r="J257" t="s">
        <v>835</v>
      </c>
    </row>
    <row r="258" spans="10:10" x14ac:dyDescent="0.35">
      <c r="J258" t="s">
        <v>836</v>
      </c>
    </row>
    <row r="259" spans="10:10" x14ac:dyDescent="0.35">
      <c r="J259" t="s">
        <v>837</v>
      </c>
    </row>
    <row r="260" spans="10:10" x14ac:dyDescent="0.35">
      <c r="J260" t="s">
        <v>838</v>
      </c>
    </row>
    <row r="261" spans="10:10" x14ac:dyDescent="0.35">
      <c r="J261" t="s">
        <v>839</v>
      </c>
    </row>
    <row r="262" spans="10:10" x14ac:dyDescent="0.35">
      <c r="J262" t="s">
        <v>840</v>
      </c>
    </row>
    <row r="263" spans="10:10" x14ac:dyDescent="0.35">
      <c r="J263" t="s">
        <v>841</v>
      </c>
    </row>
    <row r="264" spans="10:10" x14ac:dyDescent="0.35">
      <c r="J264" t="s">
        <v>842</v>
      </c>
    </row>
    <row r="265" spans="10:10" x14ac:dyDescent="0.35">
      <c r="J265" t="s">
        <v>843</v>
      </c>
    </row>
    <row r="266" spans="10:10" x14ac:dyDescent="0.35">
      <c r="J266" t="s">
        <v>844</v>
      </c>
    </row>
    <row r="267" spans="10:10" x14ac:dyDescent="0.35">
      <c r="J267" t="s">
        <v>845</v>
      </c>
    </row>
    <row r="268" spans="10:10" x14ac:dyDescent="0.35">
      <c r="J268" t="s">
        <v>846</v>
      </c>
    </row>
    <row r="269" spans="10:10" x14ac:dyDescent="0.35">
      <c r="J269" t="s">
        <v>847</v>
      </c>
    </row>
    <row r="270" spans="10:10" x14ac:dyDescent="0.35">
      <c r="J270" t="s">
        <v>848</v>
      </c>
    </row>
    <row r="271" spans="10:10" x14ac:dyDescent="0.35">
      <c r="J271" t="s">
        <v>849</v>
      </c>
    </row>
    <row r="272" spans="10:10" x14ac:dyDescent="0.35">
      <c r="J272" t="s">
        <v>850</v>
      </c>
    </row>
    <row r="273" spans="10:10" x14ac:dyDescent="0.35">
      <c r="J273" t="s">
        <v>851</v>
      </c>
    </row>
    <row r="274" spans="10:10" x14ac:dyDescent="0.35">
      <c r="J274" t="s">
        <v>852</v>
      </c>
    </row>
    <row r="275" spans="10:10" x14ac:dyDescent="0.35">
      <c r="J275" t="s">
        <v>853</v>
      </c>
    </row>
    <row r="276" spans="10:10" x14ac:dyDescent="0.35">
      <c r="J276" t="s">
        <v>854</v>
      </c>
    </row>
    <row r="277" spans="10:10" x14ac:dyDescent="0.35">
      <c r="J277" t="s">
        <v>855</v>
      </c>
    </row>
    <row r="278" spans="10:10" x14ac:dyDescent="0.35">
      <c r="J278" t="s">
        <v>856</v>
      </c>
    </row>
    <row r="279" spans="10:10" x14ac:dyDescent="0.35">
      <c r="J279" t="s">
        <v>857</v>
      </c>
    </row>
    <row r="280" spans="10:10" x14ac:dyDescent="0.35">
      <c r="J280" t="s">
        <v>858</v>
      </c>
    </row>
    <row r="281" spans="10:10" x14ac:dyDescent="0.35">
      <c r="J281" t="s">
        <v>859</v>
      </c>
    </row>
    <row r="282" spans="10:10" x14ac:dyDescent="0.35">
      <c r="J282" t="s">
        <v>860</v>
      </c>
    </row>
    <row r="283" spans="10:10" x14ac:dyDescent="0.35">
      <c r="J283" t="s">
        <v>861</v>
      </c>
    </row>
    <row r="284" spans="10:10" x14ac:dyDescent="0.35">
      <c r="J284" t="s">
        <v>862</v>
      </c>
    </row>
    <row r="285" spans="10:10" x14ac:dyDescent="0.35">
      <c r="J285" t="s">
        <v>863</v>
      </c>
    </row>
    <row r="286" spans="10:10" x14ac:dyDescent="0.35">
      <c r="J286" t="s">
        <v>864</v>
      </c>
    </row>
    <row r="287" spans="10:10" x14ac:dyDescent="0.35">
      <c r="J287" t="s">
        <v>865</v>
      </c>
    </row>
    <row r="288" spans="10:10" x14ac:dyDescent="0.35">
      <c r="J288" t="s">
        <v>866</v>
      </c>
    </row>
    <row r="289" spans="10:10" x14ac:dyDescent="0.35">
      <c r="J289" t="s">
        <v>867</v>
      </c>
    </row>
    <row r="290" spans="10:10" x14ac:dyDescent="0.35">
      <c r="J290" t="s">
        <v>868</v>
      </c>
    </row>
    <row r="291" spans="10:10" x14ac:dyDescent="0.35">
      <c r="J291" t="s">
        <v>869</v>
      </c>
    </row>
    <row r="292" spans="10:10" x14ac:dyDescent="0.35">
      <c r="J292" t="s">
        <v>870</v>
      </c>
    </row>
    <row r="293" spans="10:10" x14ac:dyDescent="0.35">
      <c r="J293" t="s">
        <v>871</v>
      </c>
    </row>
    <row r="294" spans="10:10" x14ac:dyDescent="0.35">
      <c r="J294" t="s">
        <v>872</v>
      </c>
    </row>
    <row r="295" spans="10:10" x14ac:dyDescent="0.35">
      <c r="J295" t="s">
        <v>873</v>
      </c>
    </row>
    <row r="296" spans="10:10" x14ac:dyDescent="0.35">
      <c r="J296" t="s">
        <v>874</v>
      </c>
    </row>
    <row r="297" spans="10:10" x14ac:dyDescent="0.35">
      <c r="J297" t="s">
        <v>875</v>
      </c>
    </row>
    <row r="298" spans="10:10" x14ac:dyDescent="0.35">
      <c r="J298" t="s">
        <v>876</v>
      </c>
    </row>
    <row r="299" spans="10:10" x14ac:dyDescent="0.35">
      <c r="J299" t="s">
        <v>877</v>
      </c>
    </row>
    <row r="300" spans="10:10" x14ac:dyDescent="0.35">
      <c r="J300" t="s">
        <v>878</v>
      </c>
    </row>
    <row r="301" spans="10:10" x14ac:dyDescent="0.35">
      <c r="J301" t="s">
        <v>879</v>
      </c>
    </row>
    <row r="302" spans="10:10" x14ac:dyDescent="0.35">
      <c r="J302" t="s">
        <v>880</v>
      </c>
    </row>
    <row r="303" spans="10:10" x14ac:dyDescent="0.35">
      <c r="J303" t="s">
        <v>881</v>
      </c>
    </row>
    <row r="304" spans="10:10" x14ac:dyDescent="0.35">
      <c r="J304" t="s">
        <v>882</v>
      </c>
    </row>
    <row r="305" spans="10:10" x14ac:dyDescent="0.35">
      <c r="J305" t="s">
        <v>883</v>
      </c>
    </row>
    <row r="306" spans="10:10" x14ac:dyDescent="0.35">
      <c r="J306" t="s">
        <v>884</v>
      </c>
    </row>
    <row r="307" spans="10:10" x14ac:dyDescent="0.35">
      <c r="J307" t="s">
        <v>885</v>
      </c>
    </row>
    <row r="308" spans="10:10" x14ac:dyDescent="0.35">
      <c r="J308" t="s">
        <v>886</v>
      </c>
    </row>
    <row r="309" spans="10:10" x14ac:dyDescent="0.35">
      <c r="J309" t="s">
        <v>887</v>
      </c>
    </row>
    <row r="310" spans="10:10" x14ac:dyDescent="0.35">
      <c r="J310" t="s">
        <v>888</v>
      </c>
    </row>
    <row r="311" spans="10:10" x14ac:dyDescent="0.35">
      <c r="J311" t="s">
        <v>889</v>
      </c>
    </row>
    <row r="312" spans="10:10" x14ac:dyDescent="0.35">
      <c r="J312" t="s">
        <v>890</v>
      </c>
    </row>
    <row r="313" spans="10:10" x14ac:dyDescent="0.35">
      <c r="J313" t="s">
        <v>891</v>
      </c>
    </row>
    <row r="314" spans="10:10" x14ac:dyDescent="0.35">
      <c r="J314" t="s">
        <v>892</v>
      </c>
    </row>
    <row r="315" spans="10:10" x14ac:dyDescent="0.35">
      <c r="J315" t="s">
        <v>893</v>
      </c>
    </row>
    <row r="316" spans="10:10" x14ac:dyDescent="0.35">
      <c r="J316" t="s">
        <v>894</v>
      </c>
    </row>
    <row r="317" spans="10:10" x14ac:dyDescent="0.35">
      <c r="J317" t="s">
        <v>895</v>
      </c>
    </row>
    <row r="318" spans="10:10" x14ac:dyDescent="0.35">
      <c r="J318" t="s">
        <v>896</v>
      </c>
    </row>
    <row r="319" spans="10:10" x14ac:dyDescent="0.35">
      <c r="J319" t="s">
        <v>897</v>
      </c>
    </row>
    <row r="320" spans="10:10" x14ac:dyDescent="0.35">
      <c r="J320" t="s">
        <v>898</v>
      </c>
    </row>
    <row r="321" spans="10:10" x14ac:dyDescent="0.35">
      <c r="J321" t="s">
        <v>899</v>
      </c>
    </row>
    <row r="322" spans="10:10" x14ac:dyDescent="0.35">
      <c r="J322" t="s">
        <v>900</v>
      </c>
    </row>
    <row r="323" spans="10:10" x14ac:dyDescent="0.35">
      <c r="J323" t="s">
        <v>901</v>
      </c>
    </row>
    <row r="324" spans="10:10" x14ac:dyDescent="0.35">
      <c r="J324" t="s">
        <v>902</v>
      </c>
    </row>
    <row r="325" spans="10:10" x14ac:dyDescent="0.35">
      <c r="J325" t="s">
        <v>903</v>
      </c>
    </row>
    <row r="326" spans="10:10" x14ac:dyDescent="0.35">
      <c r="J326" t="s">
        <v>904</v>
      </c>
    </row>
    <row r="327" spans="10:10" x14ac:dyDescent="0.35">
      <c r="J327" t="s">
        <v>905</v>
      </c>
    </row>
    <row r="328" spans="10:10" x14ac:dyDescent="0.35">
      <c r="J328" t="s">
        <v>906</v>
      </c>
    </row>
    <row r="329" spans="10:10" x14ac:dyDescent="0.35">
      <c r="J329" t="s">
        <v>907</v>
      </c>
    </row>
    <row r="330" spans="10:10" x14ac:dyDescent="0.35">
      <c r="J330" t="s">
        <v>908</v>
      </c>
    </row>
    <row r="331" spans="10:10" x14ac:dyDescent="0.35">
      <c r="J331" t="s">
        <v>909</v>
      </c>
    </row>
    <row r="332" spans="10:10" x14ac:dyDescent="0.35">
      <c r="J332" t="s">
        <v>910</v>
      </c>
    </row>
    <row r="333" spans="10:10" x14ac:dyDescent="0.35">
      <c r="J333" t="s">
        <v>911</v>
      </c>
    </row>
    <row r="334" spans="10:10" x14ac:dyDescent="0.35">
      <c r="J334" t="s">
        <v>912</v>
      </c>
    </row>
    <row r="335" spans="10:10" x14ac:dyDescent="0.35">
      <c r="J335" t="s">
        <v>913</v>
      </c>
    </row>
    <row r="336" spans="10:10" x14ac:dyDescent="0.35">
      <c r="J336" t="s">
        <v>914</v>
      </c>
    </row>
    <row r="337" spans="10:10" x14ac:dyDescent="0.35">
      <c r="J337" t="s">
        <v>915</v>
      </c>
    </row>
    <row r="338" spans="10:10" x14ac:dyDescent="0.35">
      <c r="J338" t="s">
        <v>916</v>
      </c>
    </row>
    <row r="339" spans="10:10" x14ac:dyDescent="0.35">
      <c r="J339" t="s">
        <v>917</v>
      </c>
    </row>
    <row r="340" spans="10:10" x14ac:dyDescent="0.35">
      <c r="J340" t="s">
        <v>918</v>
      </c>
    </row>
    <row r="341" spans="10:10" x14ac:dyDescent="0.35">
      <c r="J341" t="s">
        <v>919</v>
      </c>
    </row>
    <row r="342" spans="10:10" x14ac:dyDescent="0.35">
      <c r="J342" t="s">
        <v>920</v>
      </c>
    </row>
    <row r="343" spans="10:10" x14ac:dyDescent="0.35">
      <c r="J343" t="s">
        <v>921</v>
      </c>
    </row>
    <row r="344" spans="10:10" x14ac:dyDescent="0.35">
      <c r="J344" t="s">
        <v>922</v>
      </c>
    </row>
    <row r="345" spans="10:10" x14ac:dyDescent="0.35">
      <c r="J345" t="s">
        <v>923</v>
      </c>
    </row>
    <row r="346" spans="10:10" x14ac:dyDescent="0.35">
      <c r="J346" t="s">
        <v>924</v>
      </c>
    </row>
    <row r="347" spans="10:10" x14ac:dyDescent="0.35">
      <c r="J347" t="s">
        <v>925</v>
      </c>
    </row>
  </sheetData>
  <mergeCells count="3">
    <mergeCell ref="A1:H1"/>
    <mergeCell ref="A22:I22"/>
    <mergeCell ref="G23:H23"/>
  </mergeCells>
  <dataValidations count="1">
    <dataValidation type="whole" allowBlank="1" showInputMessage="1" showErrorMessage="1" sqref="B6:C6" xr:uid="{00000000-0002-0000-0F00-000000000000}">
      <formula1>1</formula1>
      <formula2>27</formula2>
    </dataValidation>
  </dataValidations>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7"/>
  <dimension ref="A1:L9"/>
  <sheetViews>
    <sheetView workbookViewId="0">
      <selection activeCell="H37" sqref="H37"/>
    </sheetView>
  </sheetViews>
  <sheetFormatPr defaultRowHeight="14.5" x14ac:dyDescent="0.35"/>
  <cols>
    <col min="3" max="3" width="11.453125" bestFit="1" customWidth="1"/>
    <col min="4" max="4" width="14.54296875" bestFit="1" customWidth="1"/>
    <col min="7" max="7" width="12.453125" bestFit="1" customWidth="1"/>
  </cols>
  <sheetData>
    <row r="1" spans="1:12" ht="15" thickBot="1" x14ac:dyDescent="0.4">
      <c r="A1" s="134" t="s">
        <v>926</v>
      </c>
      <c r="B1" s="135" t="s">
        <v>927</v>
      </c>
      <c r="C1" s="136" t="s">
        <v>928</v>
      </c>
      <c r="D1" s="136" t="s">
        <v>929</v>
      </c>
      <c r="E1" s="136" t="s">
        <v>930</v>
      </c>
      <c r="F1" s="135" t="s">
        <v>931</v>
      </c>
      <c r="G1" s="137" t="s">
        <v>932</v>
      </c>
      <c r="H1" s="136" t="s">
        <v>933</v>
      </c>
      <c r="I1" s="136" t="s">
        <v>934</v>
      </c>
      <c r="J1" s="136" t="s">
        <v>935</v>
      </c>
      <c r="K1" s="137" t="s">
        <v>936</v>
      </c>
      <c r="L1" s="135" t="s">
        <v>937</v>
      </c>
    </row>
    <row r="2" spans="1:12" ht="15" thickBot="1" x14ac:dyDescent="0.4">
      <c r="A2" s="138" t="s">
        <v>938</v>
      </c>
      <c r="B2" s="139">
        <v>5</v>
      </c>
      <c r="C2" s="140">
        <v>15</v>
      </c>
      <c r="D2" s="140">
        <v>75</v>
      </c>
      <c r="E2" s="363">
        <v>75</v>
      </c>
      <c r="F2" s="365">
        <v>27</v>
      </c>
      <c r="G2" s="365">
        <v>500</v>
      </c>
      <c r="H2" s="363">
        <v>13500</v>
      </c>
      <c r="I2" s="363">
        <v>40500</v>
      </c>
      <c r="J2" s="363">
        <v>675</v>
      </c>
      <c r="K2" s="352">
        <v>84.38</v>
      </c>
      <c r="L2" s="354">
        <v>4.0199999999999996</v>
      </c>
    </row>
    <row r="3" spans="1:12" ht="15" thickBot="1" x14ac:dyDescent="0.4">
      <c r="A3" s="138" t="s">
        <v>939</v>
      </c>
      <c r="B3" s="141">
        <v>0</v>
      </c>
      <c r="C3" s="140">
        <v>21</v>
      </c>
      <c r="D3" s="140">
        <v>0</v>
      </c>
      <c r="E3" s="364"/>
      <c r="F3" s="366"/>
      <c r="G3" s="366"/>
      <c r="H3" s="364"/>
      <c r="I3" s="364"/>
      <c r="J3" s="364"/>
      <c r="K3" s="353"/>
      <c r="L3" s="355"/>
    </row>
    <row r="4" spans="1:12" ht="15" thickBot="1" x14ac:dyDescent="0.4">
      <c r="A4" s="142" t="s">
        <v>204</v>
      </c>
      <c r="B4" s="140">
        <v>5</v>
      </c>
      <c r="C4" s="140"/>
      <c r="D4" s="140" t="s">
        <v>940</v>
      </c>
      <c r="E4" s="140">
        <v>15</v>
      </c>
      <c r="F4" s="143"/>
      <c r="G4" s="140"/>
      <c r="H4" s="140"/>
      <c r="I4" s="140"/>
      <c r="J4" s="140">
        <v>60</v>
      </c>
      <c r="K4" s="140">
        <v>8</v>
      </c>
      <c r="L4" s="140">
        <v>21</v>
      </c>
    </row>
    <row r="5" spans="1:12" ht="15" thickBot="1" x14ac:dyDescent="0.4">
      <c r="A5" s="144"/>
      <c r="B5" s="144"/>
      <c r="C5" s="144"/>
      <c r="D5" s="144"/>
      <c r="E5" s="144"/>
      <c r="F5" s="144"/>
      <c r="G5" s="144"/>
      <c r="H5" s="144"/>
      <c r="I5" s="144"/>
      <c r="J5" s="144"/>
      <c r="K5" s="144"/>
      <c r="L5" s="144"/>
    </row>
    <row r="6" spans="1:12" ht="22.5" customHeight="1" thickBot="1" x14ac:dyDescent="0.4">
      <c r="A6" s="356" t="s">
        <v>941</v>
      </c>
      <c r="B6" s="357"/>
      <c r="C6" s="145" t="s">
        <v>942</v>
      </c>
      <c r="D6" s="146" t="s">
        <v>943</v>
      </c>
      <c r="E6" s="144"/>
      <c r="F6" s="144"/>
      <c r="G6" s="144"/>
      <c r="H6" s="144"/>
      <c r="I6" s="144"/>
      <c r="J6" s="144"/>
      <c r="K6" s="144"/>
      <c r="L6" s="144"/>
    </row>
    <row r="7" spans="1:12" ht="15" thickBot="1" x14ac:dyDescent="0.4">
      <c r="A7" s="142" t="s">
        <v>944</v>
      </c>
      <c r="B7" s="147">
        <v>8900</v>
      </c>
      <c r="C7" s="147">
        <v>44500</v>
      </c>
      <c r="D7" s="358">
        <v>178794.64</v>
      </c>
      <c r="E7" s="144"/>
      <c r="F7" s="144"/>
      <c r="G7" s="144"/>
      <c r="H7" s="144"/>
      <c r="I7" s="144"/>
      <c r="J7" s="144"/>
      <c r="K7" s="144"/>
      <c r="L7" s="144"/>
    </row>
    <row r="8" spans="1:12" ht="15" thickBot="1" x14ac:dyDescent="0.4">
      <c r="A8" s="142" t="s">
        <v>945</v>
      </c>
      <c r="B8" s="147">
        <v>4600</v>
      </c>
      <c r="C8" s="147">
        <v>0</v>
      </c>
      <c r="D8" s="359"/>
      <c r="E8" s="144"/>
      <c r="F8" s="144"/>
      <c r="G8" s="144"/>
      <c r="H8" s="144"/>
      <c r="I8" s="144"/>
      <c r="J8" s="144"/>
      <c r="K8" s="144"/>
      <c r="L8" s="144"/>
    </row>
    <row r="9" spans="1:12" ht="15" thickBot="1" x14ac:dyDescent="0.4">
      <c r="A9" s="361"/>
      <c r="B9" s="362"/>
      <c r="C9" s="148">
        <v>44500</v>
      </c>
      <c r="D9" s="360"/>
      <c r="E9" s="144"/>
      <c r="F9" s="149"/>
      <c r="G9" s="144"/>
      <c r="H9" s="144"/>
      <c r="I9" s="144"/>
      <c r="J9" s="144"/>
      <c r="K9" s="144"/>
      <c r="L9" s="144"/>
    </row>
  </sheetData>
  <mergeCells count="11">
    <mergeCell ref="K2:K3"/>
    <mergeCell ref="L2:L3"/>
    <mergeCell ref="A6:B6"/>
    <mergeCell ref="D7:D9"/>
    <mergeCell ref="A9:B9"/>
    <mergeCell ref="E2:E3"/>
    <mergeCell ref="F2:F3"/>
    <mergeCell ref="G2:G3"/>
    <mergeCell ref="H2:H3"/>
    <mergeCell ref="I2:I3"/>
    <mergeCell ref="J2:J3"/>
  </mergeCell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5"/>
  <dimension ref="A1:A11"/>
  <sheetViews>
    <sheetView view="pageLayout" zoomScaleNormal="100" workbookViewId="0">
      <selection activeCell="A16" sqref="A16"/>
    </sheetView>
  </sheetViews>
  <sheetFormatPr defaultColWidth="9.453125" defaultRowHeight="14.5" x14ac:dyDescent="0.35"/>
  <cols>
    <col min="1" max="1" width="97.453125" customWidth="1"/>
  </cols>
  <sheetData>
    <row r="1" spans="1:1" x14ac:dyDescent="0.35">
      <c r="A1" s="25" t="s">
        <v>565</v>
      </c>
    </row>
    <row r="2" spans="1:1" ht="58" x14ac:dyDescent="0.35">
      <c r="A2" s="19" t="s">
        <v>946</v>
      </c>
    </row>
    <row r="4" spans="1:1" x14ac:dyDescent="0.35">
      <c r="A4" s="25" t="s">
        <v>566</v>
      </c>
    </row>
    <row r="5" spans="1:1" x14ac:dyDescent="0.35">
      <c r="A5" t="s">
        <v>947</v>
      </c>
    </row>
    <row r="7" spans="1:1" x14ac:dyDescent="0.35">
      <c r="A7" s="25" t="s">
        <v>567</v>
      </c>
    </row>
    <row r="8" spans="1:1" x14ac:dyDescent="0.35">
      <c r="A8" t="s">
        <v>948</v>
      </c>
    </row>
    <row r="10" spans="1:1" x14ac:dyDescent="0.35">
      <c r="A10" s="25" t="s">
        <v>568</v>
      </c>
    </row>
    <row r="11" spans="1:1" x14ac:dyDescent="0.35">
      <c r="A11" t="s">
        <v>949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d1fc5a2-22fe-411e-8fe3-fa671ae2a276" xsi:nil="true"/>
    <TRSBUTaxHTField xmlns="http://schemas.microsoft.com/sharepoint/v3">
      <Terms xmlns="http://schemas.microsoft.com/office/infopath/2007/PartnerControls"/>
    </TRSBUTaxHTField>
    <TROfficeLocationTaxHTField xmlns="http://schemas.microsoft.com/sharepoint/v3">
      <Terms xmlns="http://schemas.microsoft.com/office/infopath/2007/PartnerControls"/>
    </TROfficeLocationTaxHTField>
    <TRJobFamilyTaxHTField xmlns="http://schemas.microsoft.com/sharepoint/v3">
      <Terms xmlns="http://schemas.microsoft.com/office/infopath/2007/PartnerControls"/>
    </TRJobFamilyTaxHTField>
    <TRLanguageTaxHTField xmlns="http://schemas.microsoft.com/sharepoint/v3">
      <Terms xmlns="http://schemas.microsoft.com/office/infopath/2007/PartnerControls"/>
    </TRLanguageTaxHTField>
    <TRSubjectTaxHTField xmlns="http://schemas.microsoft.com/sharepoint/v3">
      <Terms xmlns="http://schemas.microsoft.com/office/infopath/2007/PartnerControls"/>
    </TRSubjectTaxHTField>
    <lcf76f155ced4ddcb4097134ff3c332f xmlns="1ce5eece-f81c-4585-ab84-a2c8809fb3b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TR Document" ma:contentTypeID="0x010100C39950E09F630340BBCCD7CBECA28DF2007EAF5CD11EBEE64ABF67B19BA781D2D7" ma:contentTypeVersion="26" ma:contentTypeDescription="" ma:contentTypeScope="" ma:versionID="e90fecd9875b9a0830ba6cd8b3d0ef56">
  <xsd:schema xmlns:xsd="http://www.w3.org/2001/XMLSchema" xmlns:xs="http://www.w3.org/2001/XMLSchema" xmlns:p="http://schemas.microsoft.com/office/2006/metadata/properties" xmlns:ns1="http://schemas.microsoft.com/sharepoint/v3" xmlns:ns2="ad1fc5a2-22fe-411e-8fe3-fa671ae2a276" xmlns:ns3="1ce5eece-f81c-4585-ab84-a2c8809fb3b4" xmlns:ns4="ad1fc5a2-22fe-411e-8fe3-fa671ae2a276" targetNamespace="http://schemas.microsoft.com/office/2006/metadata/properties" ma:root="true" ma:fieldsID="81bc6f5ff28e4e6c66db0eb97211fdcc" ns1:_="" ns4:_="" ns3:_="">
    <xsd:import namespace="http://schemas.microsoft.com/sharepoint/v3"/>
    <xsd:import namespace="ad1fc5a2-22fe-411e-8fe3-fa671ae2a276"/>
    <xsd:import namespace="1ce5eece-f81c-4585-ab84-a2c8809fb3b4"/>
    <xsd:import namespace="ad1fc5a2-22fe-411e-8fe3-fa671ae2a276"/>
    <xsd:element name="properties">
      <xsd:complexType>
        <xsd:sequence>
          <xsd:element name="documentManagement">
            <xsd:complexType>
              <xsd:all>
                <xsd:element ref="ns1:TRSBUTaxHTField" minOccurs="0"/>
                <xsd:element ref="ns2:TaxCatchAll" minOccurs="0"/>
                <xsd:element ref="ns2:TaxCatchAllLabel" minOccurs="0"/>
                <xsd:element ref="ns1:TRLanguageTaxHTField" minOccurs="0"/>
                <xsd:element ref="ns1:TROfficeLocationTaxHTField" minOccurs="0"/>
                <xsd:element ref="ns1:TRJobFamilyTaxHTField" minOccurs="0"/>
                <xsd:element ref="ns1:TRSubjectTaxHTField" minOccurs="0"/>
                <xsd:element ref="ns3:MediaServiceMetadata" minOccurs="0"/>
                <xsd:element ref="ns3:MediaServiceFastMetadata" minOccurs="0"/>
                <xsd:element ref="ns3:MediaServiceDateTaken" minOccurs="0"/>
                <xsd:element ref="ns3:MediaServiceAutoTags" minOccurs="0"/>
                <xsd:element ref="ns3:MediaLengthInSeconds" minOccurs="0"/>
                <xsd:element ref="ns4:SharedWithUsers" minOccurs="0"/>
                <xsd:element ref="ns4:SharedWithDetails" minOccurs="0"/>
                <xsd:element ref="ns3:MediaServiceObjectDetectorVersions" minOccurs="0"/>
                <xsd:element ref="ns3:MediaServiceGenerationTime" minOccurs="0"/>
                <xsd:element ref="ns3:MediaServiceEventHashCode" minOccurs="0"/>
                <xsd:element ref="ns3:MediaServiceSearchProperties" minOccurs="0"/>
                <xsd:element ref="ns3:lcf76f155ced4ddcb4097134ff3c332f"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TRSBUTaxHTField" ma:index="8" nillable="true" ma:taxonomy="true" ma:internalName="TRSBUTaxHTField" ma:taxonomyFieldName="TRSBU" ma:displayName="SBU" ma:fieldId="{d30ce1f4-8635-4c23-b7cf-011659f4f275}" ma:taxonomyMulti="true" ma:sspId="53a93e6a-eb94-4f22-847d-80c377548ab0" ma:termSetId="ab43548d-5e6a-41cd-9db1-4764912ec39d" ma:anchorId="00000000-0000-0000-0000-000000000000" ma:open="false" ma:isKeyword="false">
      <xsd:complexType>
        <xsd:sequence>
          <xsd:element ref="pc:Terms" minOccurs="0" maxOccurs="1"/>
        </xsd:sequence>
      </xsd:complexType>
    </xsd:element>
    <xsd:element name="TRLanguageTaxHTField" ma:index="12" nillable="true" ma:taxonomy="true" ma:internalName="TRLanguageTaxHTField" ma:taxonomyFieldName="TRLanguage" ma:displayName="Language" ma:fieldId="{4e7a84a6-74ec-4512-864a-f732282b6fe1}" ma:taxonomyMulti="true" ma:sspId="53a93e6a-eb94-4f22-847d-80c377548ab0" ma:termSetId="56ca6386-fedd-4598-ba67-3d452cb0d91d" ma:anchorId="00000000-0000-0000-0000-000000000000" ma:open="false" ma:isKeyword="false">
      <xsd:complexType>
        <xsd:sequence>
          <xsd:element ref="pc:Terms" minOccurs="0" maxOccurs="1"/>
        </xsd:sequence>
      </xsd:complexType>
    </xsd:element>
    <xsd:element name="TROfficeLocationTaxHTField" ma:index="14" nillable="true" ma:taxonomy="true" ma:internalName="TROfficeLocationTaxHTField" ma:taxonomyFieldName="TROfficeLocation" ma:displayName="Office Location" ma:fieldId="{5f13de36-1d66-44ad-94bd-6282a10a3810}" ma:taxonomyMulti="true" ma:sspId="53a93e6a-eb94-4f22-847d-80c377548ab0" ma:termSetId="28de915c-5670-4a43-8f44-c81d2725c159" ma:anchorId="00000000-0000-0000-0000-000000000000" ma:open="false" ma:isKeyword="false">
      <xsd:complexType>
        <xsd:sequence>
          <xsd:element ref="pc:Terms" minOccurs="0" maxOccurs="1"/>
        </xsd:sequence>
      </xsd:complexType>
    </xsd:element>
    <xsd:element name="TRJobFamilyTaxHTField" ma:index="16" nillable="true" ma:taxonomy="true" ma:internalName="TRJobFamilyTaxHTField" ma:taxonomyFieldName="TRJobFamily" ma:displayName="Job Family" ma:fieldId="{f32baf50-5a88-4830-8c55-b30c3f1e9489}" ma:taxonomyMulti="true" ma:sspId="53a93e6a-eb94-4f22-847d-80c377548ab0" ma:termSetId="40548ca3-4326-40e0-b171-3878b94f3fca" ma:anchorId="00000000-0000-0000-0000-000000000000" ma:open="false" ma:isKeyword="false">
      <xsd:complexType>
        <xsd:sequence>
          <xsd:element ref="pc:Terms" minOccurs="0" maxOccurs="1"/>
        </xsd:sequence>
      </xsd:complexType>
    </xsd:element>
    <xsd:element name="TRSubjectTaxHTField" ma:index="18" nillable="true" ma:taxonomy="true" ma:internalName="TRSubjectTaxHTField" ma:taxonomyFieldName="TRSubject" ma:displayName="Subject" ma:fieldId="{6fb5d15e-72cb-49ee-9854-a746c13c3cf9}" ma:taxonomyMulti="true" ma:sspId="53a93e6a-eb94-4f22-847d-80c377548ab0" ma:termSetId="c0f3d29f-288e-41c4-812b-beda0be9897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d1fc5a2-22fe-411e-8fe3-fa671ae2a276"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ed868a66-cfd3-42fa-94ef-da609382b5a7}" ma:internalName="TaxCatchAll" ma:showField="CatchAllData" ma:web="ad1fc5a2-22fe-411e-8fe3-fa671ae2a276">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d868a66-cfd3-42fa-94ef-da609382b5a7}" ma:internalName="TaxCatchAllLabel" ma:readOnly="true" ma:showField="CatchAllDataLabel" ma:web="ad1fc5a2-22fe-411e-8fe3-fa671ae2a27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ce5eece-f81c-4585-ab84-a2c8809fb3b4"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DateTaken" ma:index="22" nillable="true" ma:displayName="MediaServiceDateTaken" ma:hidden="true" ma:internalName="MediaServiceDateTaken" ma:readOnly="true">
      <xsd:simpleType>
        <xsd:restriction base="dms:Text"/>
      </xsd:simpleType>
    </xsd:element>
    <xsd:element name="MediaServiceAutoTags" ma:index="23" nillable="true" ma:displayName="Tags" ma:internalName="MediaServiceAutoTag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lcf76f155ced4ddcb4097134ff3c332f" ma:index="32" nillable="true" ma:taxonomy="true" ma:internalName="lcf76f155ced4ddcb4097134ff3c332f" ma:taxonomyFieldName="MediaServiceImageTags" ma:displayName="Etiquetas de Imagem"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ServiceOCR" ma:index="33" nillable="true" ma:displayName="Extracted Text" ma:internalName="MediaServiceOCR" ma:readOnly="tru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1fc5a2-22fe-411e-8fe3-fa671ae2a276" elementFormDefault="qualified">
    <xsd:import namespace="http://schemas.microsoft.com/office/2006/documentManagement/types"/>
    <xsd:import namespace="http://schemas.microsoft.com/office/infopath/2007/PartnerControls"/>
    <xsd:element name="SharedWithUsers" ma:index="25"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0A6516-4794-43FA-8AD9-78EB68060017}">
  <ds:schemaRefs>
    <ds:schemaRef ds:uri="http://schemas.microsoft.com/sharepoint/v3/contenttype/forms"/>
  </ds:schemaRefs>
</ds:datastoreItem>
</file>

<file path=customXml/itemProps2.xml><?xml version="1.0" encoding="utf-8"?>
<ds:datastoreItem xmlns:ds="http://schemas.openxmlformats.org/officeDocument/2006/customXml" ds:itemID="{B8B388AD-D9C9-46CC-B065-A89FFE3ADFDB}">
  <ds:schemaRefs>
    <ds:schemaRef ds:uri="http://schemas.microsoft.com/office/2006/metadata/properties"/>
    <ds:schemaRef ds:uri="http://schemas.microsoft.com/office/infopath/2007/PartnerControls"/>
    <ds:schemaRef ds:uri="ad1fc5a2-22fe-411e-8fe3-fa671ae2a276"/>
    <ds:schemaRef ds:uri="http://schemas.microsoft.com/sharepoint/v3"/>
    <ds:schemaRef ds:uri="1ce5eece-f81c-4585-ab84-a2c8809fb3b4"/>
  </ds:schemaRefs>
</ds:datastoreItem>
</file>

<file path=customXml/itemProps3.xml><?xml version="1.0" encoding="utf-8"?>
<ds:datastoreItem xmlns:ds="http://schemas.openxmlformats.org/officeDocument/2006/customXml" ds:itemID="{BDCD5DAA-B5CB-43D1-8AFD-019078EFE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d1fc5a2-22fe-411e-8fe3-fa671ae2a276"/>
    <ds:schemaRef ds:uri="1ce5eece-f81c-4585-ab84-a2c8809fb3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1c66dc-9fb3-4f39-955d-9d903b6e61cb}" enabled="1" method="Privileged" siteId="{fe656f5f-dfed-4272-912d-59cb7f7474c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5</vt:i4>
      </vt:variant>
    </vt:vector>
  </HeadingPairs>
  <TitlesOfParts>
    <vt:vector size="16" baseType="lpstr">
      <vt:lpstr>Sumário</vt:lpstr>
      <vt:lpstr>Geral</vt:lpstr>
      <vt:lpstr>Lista de Valores</vt:lpstr>
      <vt:lpstr>Empresas</vt:lpstr>
      <vt:lpstr>Volumetria</vt:lpstr>
      <vt:lpstr>CFOPS</vt:lpstr>
      <vt:lpstr>NCMS COMPRAS</vt:lpstr>
      <vt:lpstr>NCMS VENDAS</vt:lpstr>
      <vt:lpstr>Municípios</vt:lpstr>
      <vt:lpstr>Regimes Especiais</vt:lpstr>
      <vt:lpstr>Sistemas</vt:lpstr>
      <vt:lpstr>Geral!Area_de_impressao</vt:lpstr>
      <vt:lpstr>Oracle11i</vt:lpstr>
      <vt:lpstr>OracleR12</vt:lpstr>
      <vt:lpstr>Other</vt:lpstr>
      <vt:lpstr>SAP</vt:lpstr>
    </vt:vector>
  </TitlesOfParts>
  <Manager/>
  <Company>ThomsonReuters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Funk, Taylor (Tax&amp;Accounting)</dc:creator>
  <cp:keywords/>
  <dc:description/>
  <cp:lastModifiedBy>Pereira, Anderson R. (LatAm)</cp:lastModifiedBy>
  <cp:revision/>
  <dcterms:created xsi:type="dcterms:W3CDTF">2013-09-04T14:44:14Z</dcterms:created>
  <dcterms:modified xsi:type="dcterms:W3CDTF">2026-05-21T13:06:04Z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0x010100C39950E09F630340BBCCD7CBECA28DF2007EAF5CD11EBEE64ABF67B19BA781D2D7</vt:lpwstr>
  </property>
  <property fmtid="{D5CDD505-2E9C-101B-9397-08002B2CF9AE}" pid="3" name="MSIP_Label_ea60d57e-af5b-4752-ac57-3e4f28ca11dc_Enabled">
    <vt:lpwstr>true</vt:lpwstr>
  </property>
  <property fmtid="{D5CDD505-2E9C-101B-9397-08002B2CF9AE}" pid="4" name="MSIP_Label_ea60d57e-af5b-4752-ac57-3e4f28ca11dc_SetDate">
    <vt:lpwstr>2023-12-05T17:28:32Z</vt:lpwstr>
  </property>
  <property fmtid="{D5CDD505-2E9C-101B-9397-08002B2CF9AE}" pid="5" name="MSIP_Label_ea60d57e-af5b-4752-ac57-3e4f28ca11dc_Method">
    <vt:lpwstr>Standard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iteId">
    <vt:lpwstr>36da45f1-dd2c-4d1f-af13-5abe46b99921</vt:lpwstr>
  </property>
  <property fmtid="{D5CDD505-2E9C-101B-9397-08002B2CF9AE}" pid="8" name="MSIP_Label_ea60d57e-af5b-4752-ac57-3e4f28ca11dc_ActionId">
    <vt:lpwstr>a4ac397d-cc76-48b1-a0fd-3feeee1c228c</vt:lpwstr>
  </property>
  <property fmtid="{D5CDD505-2E9C-101B-9397-08002B2CF9AE}" pid="9" name="MSIP_Label_ea60d57e-af5b-4752-ac57-3e4f28ca11dc_ContentBits">
    <vt:lpwstr>0</vt:lpwstr>
  </property>
  <property fmtid="{D5CDD505-2E9C-101B-9397-08002B2CF9AE}" pid="10" name="MediaServiceImageTags">
    <vt:lpwstr/>
  </property>
  <property fmtid="{D5CDD505-2E9C-101B-9397-08002B2CF9AE}" pid="11" name="TRSBU">
    <vt:lpwstr/>
  </property>
  <property fmtid="{D5CDD505-2E9C-101B-9397-08002B2CF9AE}" pid="12" name="TRLanguage">
    <vt:lpwstr/>
  </property>
  <property fmtid="{D5CDD505-2E9C-101B-9397-08002B2CF9AE}" pid="13" name="TRJobFamily">
    <vt:lpwstr/>
  </property>
  <property fmtid="{D5CDD505-2E9C-101B-9397-08002B2CF9AE}" pid="14" name="TROfficeLocation">
    <vt:lpwstr/>
  </property>
  <property fmtid="{D5CDD505-2E9C-101B-9397-08002B2CF9AE}" pid="15" name="TRSubject">
    <vt:lpwstr/>
  </property>
</Properties>
</file>